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fr\Dropbox\WORK\2025\AMBASSADOR FOXPRO FOXBILL\"/>
    </mc:Choice>
  </mc:AlternateContent>
  <xr:revisionPtr revIDLastSave="0" documentId="8_{C9B1447F-762C-4D0E-AC61-45D5454C438D}" xr6:coauthVersionLast="47" xr6:coauthVersionMax="47" xr10:uidLastSave="{00000000-0000-0000-0000-000000000000}"/>
  <bookViews>
    <workbookView xWindow="-108" yWindow="-108" windowWidth="23256" windowHeight="12456" activeTab="1" xr2:uid="{4D218E34-F061-4049-A43C-1ECC43E0D397}"/>
  </bookViews>
  <sheets>
    <sheet name="ENTIRE ARCHITECTURE" sheetId="7" r:id="rId1"/>
    <sheet name="AMBASSADOR ARCHITECTURE" sheetId="13" r:id="rId2"/>
    <sheet name="AMBASSADOR" sheetId="6" r:id="rId3"/>
    <sheet name="AMBASSADOR BACKEND" sheetId="9" r:id="rId4"/>
    <sheet name="ADIM RIGHTS" sheetId="2" r:id="rId5"/>
    <sheet name="CALL CENTRE" sheetId="1" r:id="rId6"/>
    <sheet name="SALES AGENTS" sheetId="3" r:id="rId7"/>
    <sheet name="QA" sheetId="4" r:id="rId8"/>
    <sheet name="EXPORT STATUS PAGE" sheetId="5" r:id="rId9"/>
    <sheet name="PREMIUM INCREASE " sheetId="8" r:id="rId10"/>
    <sheet name="SALES DATA DASH BOARD" sheetId="10" r:id="rId11"/>
    <sheet name="MONTHLY PREMIUM" sheetId="11" r:id="rId12"/>
    <sheet name="GLOBAL BOOK" sheetId="12" r:id="rId1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2" i="12" l="1"/>
  <c r="I62" i="12"/>
  <c r="X58" i="12"/>
  <c r="V58" i="12"/>
  <c r="T58" i="12"/>
  <c r="D58" i="12"/>
  <c r="Z56" i="12"/>
  <c r="Z62" i="12" s="1"/>
  <c r="Y56" i="12"/>
  <c r="Y62" i="12" s="1"/>
  <c r="X56" i="12"/>
  <c r="W56" i="12"/>
  <c r="V56" i="12"/>
  <c r="U56" i="12"/>
  <c r="T56" i="12"/>
  <c r="S56" i="12"/>
  <c r="R56" i="12"/>
  <c r="R62" i="12" s="1"/>
  <c r="Q56" i="12"/>
  <c r="Q62" i="12" s="1"/>
  <c r="P56" i="12"/>
  <c r="P58" i="12" s="1"/>
  <c r="O56" i="12"/>
  <c r="O62" i="12" s="1"/>
  <c r="N56" i="12"/>
  <c r="N58" i="12" s="1"/>
  <c r="M56" i="12"/>
  <c r="L56" i="12"/>
  <c r="K56" i="12"/>
  <c r="L58" i="12" s="1"/>
  <c r="J56" i="12"/>
  <c r="J58" i="12" s="1"/>
  <c r="I56" i="12"/>
  <c r="H56" i="12"/>
  <c r="G56" i="12"/>
  <c r="G62" i="12" s="1"/>
  <c r="F56" i="12"/>
  <c r="F62" i="12" s="1"/>
  <c r="E56" i="12"/>
  <c r="E62" i="12" s="1"/>
  <c r="D56" i="12"/>
  <c r="C56" i="12"/>
  <c r="Y44" i="12"/>
  <c r="W44" i="12"/>
  <c r="W62" i="12" s="1"/>
  <c r="U44" i="12"/>
  <c r="U62" i="12" s="1"/>
  <c r="S44" i="12"/>
  <c r="Q44" i="12"/>
  <c r="O44" i="12"/>
  <c r="M44" i="12"/>
  <c r="M62" i="12" s="1"/>
  <c r="K44" i="12"/>
  <c r="K62" i="12" s="1"/>
  <c r="I44" i="12"/>
  <c r="G44" i="12"/>
  <c r="E44" i="12"/>
  <c r="C44" i="12"/>
  <c r="C62" i="12" s="1"/>
  <c r="Z42" i="12"/>
  <c r="X42" i="12"/>
  <c r="V42" i="12"/>
  <c r="T42" i="12"/>
  <c r="R42" i="12"/>
  <c r="P42" i="12"/>
  <c r="N42" i="12"/>
  <c r="L42" i="12"/>
  <c r="J42" i="12"/>
  <c r="H42" i="12"/>
  <c r="F42" i="12"/>
  <c r="D42" i="12"/>
  <c r="Z41" i="12"/>
  <c r="X41" i="12"/>
  <c r="V41" i="12"/>
  <c r="T41" i="12"/>
  <c r="R41" i="12"/>
  <c r="P41" i="12"/>
  <c r="N41" i="12"/>
  <c r="L41" i="12"/>
  <c r="J41" i="12"/>
  <c r="H41" i="12"/>
  <c r="F41" i="12"/>
  <c r="D41" i="12"/>
  <c r="Z40" i="12"/>
  <c r="X40" i="12"/>
  <c r="V40" i="12"/>
  <c r="T40" i="12"/>
  <c r="R40" i="12"/>
  <c r="P40" i="12"/>
  <c r="N40" i="12"/>
  <c r="L40" i="12"/>
  <c r="J40" i="12"/>
  <c r="H40" i="12"/>
  <c r="F40" i="12"/>
  <c r="D40" i="12"/>
  <c r="Z39" i="12"/>
  <c r="X39" i="12"/>
  <c r="V39" i="12"/>
  <c r="T39" i="12"/>
  <c r="R39" i="12"/>
  <c r="P39" i="12"/>
  <c r="N39" i="12"/>
  <c r="L39" i="12"/>
  <c r="J39" i="12"/>
  <c r="H39" i="12"/>
  <c r="F39" i="12"/>
  <c r="D39" i="12"/>
  <c r="Z38" i="12"/>
  <c r="X38" i="12"/>
  <c r="V38" i="12"/>
  <c r="T38" i="12"/>
  <c r="R38" i="12"/>
  <c r="P38" i="12"/>
  <c r="N38" i="12"/>
  <c r="L38" i="12"/>
  <c r="J38" i="12"/>
  <c r="H38" i="12"/>
  <c r="F38" i="12"/>
  <c r="D38" i="12"/>
  <c r="Z37" i="12"/>
  <c r="X37" i="12"/>
  <c r="V37" i="12"/>
  <c r="T37" i="12"/>
  <c r="R37" i="12"/>
  <c r="P37" i="12"/>
  <c r="N37" i="12"/>
  <c r="L37" i="12"/>
  <c r="J37" i="12"/>
  <c r="H37" i="12"/>
  <c r="F37" i="12"/>
  <c r="D37" i="12"/>
  <c r="Z36" i="12"/>
  <c r="X36" i="12"/>
  <c r="V36" i="12"/>
  <c r="T36" i="12"/>
  <c r="R36" i="12"/>
  <c r="P36" i="12"/>
  <c r="N36" i="12"/>
  <c r="L36" i="12"/>
  <c r="J36" i="12"/>
  <c r="H36" i="12"/>
  <c r="F36" i="12"/>
  <c r="D36" i="12"/>
  <c r="Z35" i="12"/>
  <c r="X35" i="12"/>
  <c r="V35" i="12"/>
  <c r="T35" i="12"/>
  <c r="R35" i="12"/>
  <c r="P35" i="12"/>
  <c r="N35" i="12"/>
  <c r="L35" i="12"/>
  <c r="J35" i="12"/>
  <c r="H35" i="12"/>
  <c r="F35" i="12"/>
  <c r="D35" i="12"/>
  <c r="Z33" i="12"/>
  <c r="X33" i="12"/>
  <c r="V33" i="12"/>
  <c r="T33" i="12"/>
  <c r="R33" i="12"/>
  <c r="P33" i="12"/>
  <c r="N33" i="12"/>
  <c r="L33" i="12"/>
  <c r="J33" i="12"/>
  <c r="H33" i="12"/>
  <c r="F33" i="12"/>
  <c r="D33" i="12"/>
  <c r="Z32" i="12"/>
  <c r="X32" i="12"/>
  <c r="V32" i="12"/>
  <c r="T32" i="12"/>
  <c r="R32" i="12"/>
  <c r="P32" i="12"/>
  <c r="N32" i="12"/>
  <c r="L32" i="12"/>
  <c r="J32" i="12"/>
  <c r="H32" i="12"/>
  <c r="F32" i="12"/>
  <c r="D32" i="12"/>
  <c r="Z31" i="12"/>
  <c r="X31" i="12"/>
  <c r="V31" i="12"/>
  <c r="T31" i="12"/>
  <c r="R31" i="12"/>
  <c r="P31" i="12"/>
  <c r="N31" i="12"/>
  <c r="L31" i="12"/>
  <c r="J31" i="12"/>
  <c r="H31" i="12"/>
  <c r="F31" i="12"/>
  <c r="D31" i="12"/>
  <c r="Z30" i="12"/>
  <c r="X30" i="12"/>
  <c r="V30" i="12"/>
  <c r="T30" i="12"/>
  <c r="R30" i="12"/>
  <c r="P30" i="12"/>
  <c r="N30" i="12"/>
  <c r="L30" i="12"/>
  <c r="J30" i="12"/>
  <c r="H30" i="12"/>
  <c r="F30" i="12"/>
  <c r="D30" i="12"/>
  <c r="Z29" i="12"/>
  <c r="X29" i="12"/>
  <c r="V29" i="12"/>
  <c r="T29" i="12"/>
  <c r="R29" i="12"/>
  <c r="P29" i="12"/>
  <c r="N29" i="12"/>
  <c r="L29" i="12"/>
  <c r="J29" i="12"/>
  <c r="H29" i="12"/>
  <c r="F29" i="12"/>
  <c r="D29" i="12"/>
  <c r="Z28" i="12"/>
  <c r="X28" i="12"/>
  <c r="V28" i="12"/>
  <c r="T28" i="12"/>
  <c r="R28" i="12"/>
  <c r="P28" i="12"/>
  <c r="N28" i="12"/>
  <c r="L28" i="12"/>
  <c r="J28" i="12"/>
  <c r="H28" i="12"/>
  <c r="F28" i="12"/>
  <c r="D28" i="12"/>
  <c r="Z27" i="12"/>
  <c r="X27" i="12"/>
  <c r="V27" i="12"/>
  <c r="V44" i="12" s="1"/>
  <c r="T27" i="12"/>
  <c r="R27" i="12"/>
  <c r="P27" i="12"/>
  <c r="N27" i="12"/>
  <c r="L27" i="12"/>
  <c r="J27" i="12"/>
  <c r="H27" i="12"/>
  <c r="F27" i="12"/>
  <c r="D27" i="12"/>
  <c r="Z26" i="12"/>
  <c r="Z44" i="12" s="1"/>
  <c r="Z46" i="12" s="1"/>
  <c r="X26" i="12"/>
  <c r="X44" i="12" s="1"/>
  <c r="V26" i="12"/>
  <c r="T26" i="12"/>
  <c r="R26" i="12"/>
  <c r="P26" i="12"/>
  <c r="N26" i="12"/>
  <c r="L26" i="12"/>
  <c r="J26" i="12"/>
  <c r="H26" i="12"/>
  <c r="F26" i="12"/>
  <c r="F44" i="12" s="1"/>
  <c r="F46" i="12" s="1"/>
  <c r="D26" i="12"/>
  <c r="D44" i="12" s="1"/>
  <c r="Z25" i="12"/>
  <c r="X25" i="12"/>
  <c r="V25" i="12"/>
  <c r="T25" i="12"/>
  <c r="R25" i="12"/>
  <c r="P25" i="12"/>
  <c r="N25" i="12"/>
  <c r="L25" i="12"/>
  <c r="J25" i="12"/>
  <c r="H25" i="12"/>
  <c r="F25" i="12"/>
  <c r="D25" i="12"/>
  <c r="Z24" i="12"/>
  <c r="X24" i="12"/>
  <c r="V24" i="12"/>
  <c r="T24" i="12"/>
  <c r="T44" i="12" s="1"/>
  <c r="R24" i="12"/>
  <c r="R44" i="12" s="1"/>
  <c r="R46" i="12" s="1"/>
  <c r="P24" i="12"/>
  <c r="P44" i="12" s="1"/>
  <c r="P46" i="12" s="1"/>
  <c r="N24" i="12"/>
  <c r="N44" i="12" s="1"/>
  <c r="L24" i="12"/>
  <c r="L44" i="12" s="1"/>
  <c r="J24" i="12"/>
  <c r="J44" i="12" s="1"/>
  <c r="H24" i="12"/>
  <c r="H44" i="12" s="1"/>
  <c r="H46" i="12" s="1"/>
  <c r="F24" i="12"/>
  <c r="D24" i="12"/>
  <c r="Y20" i="12"/>
  <c r="W20" i="12"/>
  <c r="U20" i="12"/>
  <c r="S20" i="12"/>
  <c r="Q20" i="12"/>
  <c r="O20" i="12"/>
  <c r="M20" i="12"/>
  <c r="K20" i="12"/>
  <c r="I20" i="12"/>
  <c r="G20" i="12"/>
  <c r="E20" i="12"/>
  <c r="C20" i="12"/>
  <c r="F63" i="12" l="1"/>
  <c r="L46" i="12"/>
  <c r="L62" i="12"/>
  <c r="L63" i="12" s="1"/>
  <c r="X46" i="12"/>
  <c r="X62" i="12"/>
  <c r="X63" i="12" s="1"/>
  <c r="T46" i="12"/>
  <c r="T62" i="12"/>
  <c r="T63" i="12" s="1"/>
  <c r="J46" i="12"/>
  <c r="J62" i="12"/>
  <c r="J63" i="12" s="1"/>
  <c r="R63" i="12"/>
  <c r="Z63" i="12"/>
  <c r="H62" i="12"/>
  <c r="H63" i="12" s="1"/>
  <c r="D46" i="12"/>
  <c r="D62" i="12"/>
  <c r="D63" i="12" s="1"/>
  <c r="N46" i="12"/>
  <c r="N62" i="12"/>
  <c r="N63" i="12" s="1"/>
  <c r="V46" i="12"/>
  <c r="V62" i="12"/>
  <c r="V63" i="12" s="1"/>
  <c r="F58" i="12"/>
  <c r="Z58" i="12"/>
  <c r="H58" i="12"/>
  <c r="P62" i="12"/>
  <c r="P63" i="12" s="1"/>
  <c r="R58" i="12"/>
  <c r="S9" i="11" l="1"/>
  <c r="R9" i="11"/>
  <c r="P9" i="11"/>
  <c r="P5" i="11"/>
  <c r="P6" i="11"/>
  <c r="P7" i="11"/>
  <c r="P4" i="11"/>
  <c r="N9" i="11"/>
  <c r="N5" i="11"/>
  <c r="N6" i="11"/>
  <c r="N7" i="11"/>
  <c r="N4" i="11"/>
  <c r="J9" i="11"/>
  <c r="J5" i="11"/>
  <c r="J6" i="11"/>
  <c r="J7" i="11"/>
  <c r="J4" i="11"/>
  <c r="H9" i="11"/>
  <c r="H5" i="11"/>
  <c r="H6" i="11"/>
  <c r="H7" i="11"/>
  <c r="H4" i="11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45" i="10"/>
  <c r="D60" i="10"/>
  <c r="C41" i="10"/>
  <c r="E37" i="10"/>
  <c r="E38" i="10"/>
  <c r="E39" i="10"/>
  <c r="E40" i="10"/>
  <c r="E36" i="10"/>
  <c r="E27" i="10"/>
  <c r="E26" i="10"/>
  <c r="E25" i="10"/>
  <c r="E19" i="10"/>
  <c r="E18" i="10"/>
  <c r="E15" i="10"/>
  <c r="E9" i="10"/>
  <c r="H7" i="9"/>
  <c r="J7" i="9" s="1"/>
  <c r="H6" i="9"/>
  <c r="J8" i="9"/>
  <c r="J9" i="9"/>
  <c r="J10" i="9"/>
  <c r="J11" i="9"/>
  <c r="J12" i="9"/>
  <c r="H12" i="9"/>
  <c r="H11" i="9"/>
  <c r="H10" i="9"/>
  <c r="H9" i="9"/>
  <c r="H8" i="9"/>
  <c r="J6" i="9"/>
  <c r="H126" i="6"/>
  <c r="H125" i="6"/>
  <c r="H124" i="6"/>
  <c r="H123" i="6"/>
  <c r="H135" i="6" s="1"/>
  <c r="K117" i="6"/>
  <c r="K116" i="6"/>
  <c r="E60" i="10" l="1"/>
  <c r="E41" i="10"/>
  <c r="E29" i="10"/>
  <c r="E22" i="10"/>
  <c r="E31" i="10" s="1"/>
  <c r="F7" i="5"/>
  <c r="F8" i="5"/>
  <c r="F9" i="5"/>
  <c r="F6" i="5"/>
  <c r="E32" i="10" l="1"/>
  <c r="E3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Ian Friederang</author>
  </authors>
  <commentList>
    <comment ref="C123" authorId="0" shapeId="0" xr:uid="{9950FCDE-E311-4B63-9C45-697693DC1518}">
      <text>
        <r>
          <rPr>
            <b/>
            <sz val="9"/>
            <color indexed="81"/>
            <rFont val="Tahoma"/>
            <family val="2"/>
          </rPr>
          <t>Ian Friederang:</t>
        </r>
        <r>
          <rPr>
            <sz val="9"/>
            <color indexed="81"/>
            <rFont val="Tahoma"/>
            <family val="2"/>
          </rPr>
          <t xml:space="preserve">
Receive R100 per 10 Referral Leads</t>
        </r>
      </text>
    </comment>
    <comment ref="F124" authorId="0" shapeId="0" xr:uid="{600F05A4-93DD-4561-97C4-3B25AB59C937}">
      <text>
        <r>
          <rPr>
            <b/>
            <sz val="9"/>
            <color indexed="81"/>
            <rFont val="Tahoma"/>
            <family val="2"/>
          </rPr>
          <t>Ian Friederang:</t>
        </r>
        <r>
          <rPr>
            <sz val="9"/>
            <color indexed="81"/>
            <rFont val="Tahoma"/>
            <family val="2"/>
          </rPr>
          <t xml:space="preserve">
Receive R100 per successful Member Sign-up</t>
        </r>
      </text>
    </comment>
    <comment ref="G126" authorId="0" shapeId="0" xr:uid="{8BFD0226-BE80-4E08-BD8A-2ABEA912C5A1}">
      <text>
        <r>
          <rPr>
            <b/>
            <sz val="9"/>
            <color indexed="81"/>
            <rFont val="Tahoma"/>
            <family val="2"/>
          </rPr>
          <t>Ian Friederang:</t>
        </r>
        <r>
          <rPr>
            <sz val="9"/>
            <color indexed="81"/>
            <rFont val="Tahoma"/>
            <family val="2"/>
          </rPr>
          <t xml:space="preserve">
Receive R1000 per 10 successful Members signed up in one calendar month</t>
        </r>
      </text>
    </comment>
  </commentList>
</comments>
</file>

<file path=xl/sharedStrings.xml><?xml version="1.0" encoding="utf-8"?>
<sst xmlns="http://schemas.openxmlformats.org/spreadsheetml/2006/main" count="617" uniqueCount="320">
  <si>
    <t>ADD NEW AGENTS</t>
  </si>
  <si>
    <t>First Name</t>
  </si>
  <si>
    <t>Last Name</t>
  </si>
  <si>
    <t>Mobile Number</t>
  </si>
  <si>
    <t>Date Stamped</t>
  </si>
  <si>
    <t>ASSIGN AGENTS</t>
  </si>
  <si>
    <t>Lifesaver 24</t>
  </si>
  <si>
    <t xml:space="preserve">Lifesaver Legal </t>
  </si>
  <si>
    <t>SELECT CAMPAIGNS</t>
  </si>
  <si>
    <t>Ambassador</t>
  </si>
  <si>
    <t>Facebook</t>
  </si>
  <si>
    <t>Zubeid External</t>
  </si>
  <si>
    <t>Lifesaver 24 Plus</t>
  </si>
  <si>
    <t>Lifesaver legal Basic</t>
  </si>
  <si>
    <t>Lifesaver legal Plus</t>
  </si>
  <si>
    <t>Lifesaver 24 Basic</t>
  </si>
  <si>
    <t>Change Premiun</t>
  </si>
  <si>
    <t>UPDATE</t>
  </si>
  <si>
    <t>MASTER ACCESS</t>
  </si>
  <si>
    <t>Ian</t>
  </si>
  <si>
    <t>Monroe</t>
  </si>
  <si>
    <t>ADD ADMIN USERS</t>
  </si>
  <si>
    <t>Role</t>
  </si>
  <si>
    <t xml:space="preserve"> </t>
  </si>
  <si>
    <t>ACCESS</t>
  </si>
  <si>
    <t>Search &amp; Read</t>
  </si>
  <si>
    <t>Password</t>
  </si>
  <si>
    <t>Login</t>
  </si>
  <si>
    <t>Effective Date</t>
  </si>
  <si>
    <t>Nicole</t>
  </si>
  <si>
    <t>Messaging</t>
  </si>
  <si>
    <t xml:space="preserve">Edits </t>
  </si>
  <si>
    <t>Once  Agents are Loaded</t>
  </si>
  <si>
    <t>Call Centre Manager can assign Agents product and Campaigns</t>
  </si>
  <si>
    <t>ACTIVE AGENTS DROP DOWN LIST</t>
  </si>
  <si>
    <t>USERNAME</t>
  </si>
  <si>
    <t>PASSWORD</t>
  </si>
  <si>
    <t>LOGIN:</t>
  </si>
  <si>
    <t>SELECT CAMPAIGN</t>
  </si>
  <si>
    <t>Leads/Day</t>
  </si>
  <si>
    <t>Helen</t>
  </si>
  <si>
    <t>UPDATE PRODUCT PREMIUM</t>
  </si>
  <si>
    <t>5/10/15/20</t>
  </si>
  <si>
    <t>DISPLAY DATA</t>
  </si>
  <si>
    <t>LEADS</t>
  </si>
  <si>
    <t>SALES CAPTURE</t>
  </si>
  <si>
    <t>Client Name</t>
  </si>
  <si>
    <t>Client Surname</t>
  </si>
  <si>
    <t>Client ID</t>
  </si>
  <si>
    <t>Client Persal</t>
  </si>
  <si>
    <t>Client First Debit Date</t>
  </si>
  <si>
    <t>Lifesaver 24 Premium</t>
  </si>
  <si>
    <t>Client Department</t>
  </si>
  <si>
    <t>Client Address</t>
  </si>
  <si>
    <t>Dependants</t>
  </si>
  <si>
    <t>Date Of Sale</t>
  </si>
  <si>
    <t>Sales Verification Agent</t>
  </si>
  <si>
    <t>SUBMIT BUTTON</t>
  </si>
  <si>
    <t>SUBMIT SALE BUTTON</t>
  </si>
  <si>
    <t>Validate ID</t>
  </si>
  <si>
    <t>Validate only 10 digits in Mobile Number</t>
  </si>
  <si>
    <t>If Possible Spelling Validation</t>
  </si>
  <si>
    <t>NEXT PAGE DISPLAYS ALL DETAILS FOR VALIDATION AGENT</t>
  </si>
  <si>
    <t xml:space="preserve">EDIT BUTTON </t>
  </si>
  <si>
    <t>Validation Agent for edit and corrections</t>
  </si>
  <si>
    <t>Validation Agent Name:</t>
  </si>
  <si>
    <t>SUBMIT VALIDATION BUTTON</t>
  </si>
  <si>
    <t>Sale gets a T status and lies in the QA Bay for second check</t>
  </si>
  <si>
    <t>QA MAILBOX</t>
  </si>
  <si>
    <t>REPAIR</t>
  </si>
  <si>
    <t>If SUBMIT BUTTON the sale is loaded for export @ middnight sales export to Netcash or Q-Link</t>
  </si>
  <si>
    <t>CANCEL BUTTON</t>
  </si>
  <si>
    <t>EXPORT STATUS PAGE</t>
  </si>
  <si>
    <t>Date</t>
  </si>
  <si>
    <t>EXPORT RETURN STATUS</t>
  </si>
  <si>
    <t xml:space="preserve">Returned Exceeded Allowable insurance </t>
  </si>
  <si>
    <t>Switch to Debit Order</t>
  </si>
  <si>
    <t>NICOLE CAN MANAGE "FOXBILL" PREMIUM INCREASES FROM HERE</t>
  </si>
  <si>
    <t xml:space="preserve">MARKETING </t>
  </si>
  <si>
    <t>ENGAGEMENT - ONBOARDING - PREMIUM COLLECTIONS</t>
  </si>
  <si>
    <t>CLIENT COMMUNICATIONS</t>
  </si>
  <si>
    <t>LEAD AND REFERRAL SYSTEM</t>
  </si>
  <si>
    <t>CRM SYSTEM</t>
  </si>
  <si>
    <t>DOCUMENT DELIVERY SYTEM</t>
  </si>
  <si>
    <t>Lifesaver Ambassador Referral Program</t>
  </si>
  <si>
    <t>Foxpro.co.za</t>
  </si>
  <si>
    <t>Foxbill</t>
  </si>
  <si>
    <t>https://lifesaverambassador.com</t>
  </si>
  <si>
    <t>https://foxpro.co.za/</t>
  </si>
  <si>
    <t>LOGIN</t>
  </si>
  <si>
    <t>Username:</t>
  </si>
  <si>
    <t>Ian Friederang</t>
  </si>
  <si>
    <t>Password:</t>
  </si>
  <si>
    <t>Alex123</t>
  </si>
  <si>
    <t>Functions</t>
  </si>
  <si>
    <t>Government employees sign-up and join to particpate</t>
  </si>
  <si>
    <t>Sales Capture</t>
  </si>
  <si>
    <t>Once a client is onboarded</t>
  </si>
  <si>
    <t>Sales QA Process</t>
  </si>
  <si>
    <t>All douments are populated with their information and saved in PDF format</t>
  </si>
  <si>
    <t>Validate</t>
  </si>
  <si>
    <t>All Statuary insurance documents(PDF) are sent via a link embedded in an SMS</t>
  </si>
  <si>
    <t>Both actions are incentivised and receive remuneration</t>
  </si>
  <si>
    <t>Export to Netcash for Debit Order Collection</t>
  </si>
  <si>
    <t>Client receives SMS</t>
  </si>
  <si>
    <t>Export to Q-link for Persal Collection</t>
  </si>
  <si>
    <t>Clicking on the link allows them to view and download documents via a web link</t>
  </si>
  <si>
    <t>Once signed-up, all messaging happens via WhatsApp</t>
  </si>
  <si>
    <t>Backend system handles the database and information functions</t>
  </si>
  <si>
    <t>Receive Premium payment update Files from Netcash</t>
  </si>
  <si>
    <t>All premium updates are sent the same way</t>
  </si>
  <si>
    <t>Receive Premium payment update Files for Persal from Q-Link via Cell Captive Guardrisk</t>
  </si>
  <si>
    <t>Tables for payments</t>
  </si>
  <si>
    <t>Export CSV for FNB enterprise banking</t>
  </si>
  <si>
    <t>Update Main Database on successful / Unsuccessful premiums</t>
  </si>
  <si>
    <t>Payments made</t>
  </si>
  <si>
    <t>Unsuccessful reasons fall in may pre-defined categories</t>
  </si>
  <si>
    <t xml:space="preserve">Update database payment status. </t>
  </si>
  <si>
    <t xml:space="preserve">Some Unsuccessful collections require predefined actions </t>
  </si>
  <si>
    <r>
      <t xml:space="preserve">Send </t>
    </r>
    <r>
      <rPr>
        <b/>
        <sz val="11"/>
        <color theme="4"/>
        <rFont val="Calibri"/>
        <family val="2"/>
        <scheme val="minor"/>
      </rPr>
      <t>Referral Leads</t>
    </r>
  </si>
  <si>
    <r>
      <t xml:space="preserve">Send </t>
    </r>
    <r>
      <rPr>
        <b/>
        <sz val="11"/>
        <color theme="4"/>
        <rFont val="Calibri"/>
        <family val="2"/>
        <scheme val="minor"/>
      </rPr>
      <t>Member-sign-up</t>
    </r>
  </si>
  <si>
    <t>http://lifesaverambassador.com/</t>
  </si>
  <si>
    <t>Referral Leads</t>
  </si>
  <si>
    <t xml:space="preserve">Member Sign up </t>
  </si>
  <si>
    <t>Ambassador Activity &amp; Earnings Dashboard</t>
  </si>
  <si>
    <t>Month</t>
  </si>
  <si>
    <t>Referral Leads Summitted</t>
  </si>
  <si>
    <t>Payment Made</t>
  </si>
  <si>
    <t>Successful Member sign-up</t>
  </si>
  <si>
    <t>Payment made</t>
  </si>
  <si>
    <t>Member sign-up Bonus Paid</t>
  </si>
  <si>
    <t>Total Payment</t>
  </si>
  <si>
    <t>Batched</t>
  </si>
  <si>
    <t>Paid</t>
  </si>
  <si>
    <t>Received</t>
  </si>
  <si>
    <t>Sales</t>
  </si>
  <si>
    <t>Zubeid</t>
  </si>
  <si>
    <t>Premium Collected</t>
  </si>
  <si>
    <t>Code</t>
  </si>
  <si>
    <t xml:space="preserve">Send a QR Code </t>
  </si>
  <si>
    <t xml:space="preserve">Links  to </t>
  </si>
  <si>
    <t xml:space="preserve"> MARKETING MESSAGE SENT THROUGH ZAPIER WHATSAPP</t>
  </si>
  <si>
    <t>All messages  are sent via Zapier</t>
  </si>
  <si>
    <t>#1</t>
  </si>
  <si>
    <t>MEMBERS REGISTER AND CAN START SUBMITTING REFERRALS AND MEMBER SIGN-UP</t>
  </si>
  <si>
    <t>MEMBER ENGAGE AND SEND 10 NON DUPLICATE REFERRALS</t>
  </si>
  <si>
    <t>THEY RECEIVE THE FOLLOWING MESSAGE</t>
  </si>
  <si>
    <t>#2</t>
  </si>
  <si>
    <t>MEMBER ENGAGE AND SEND MEMBER SIGNUPS</t>
  </si>
  <si>
    <t>#3</t>
  </si>
  <si>
    <t>BACKEND TABLE DATA BASE</t>
  </si>
  <si>
    <t xml:space="preserve">The table must allocate records </t>
  </si>
  <si>
    <t>Ambassador have access to their production dashboard vis the Ambassador App</t>
  </si>
  <si>
    <t>The system must reference the sales made table to allocate correct payment to Ambassador for payment when submitting "Member signups"</t>
  </si>
  <si>
    <t>PAYMENT METRICS</t>
  </si>
  <si>
    <t>AMBASSADORS</t>
  </si>
  <si>
    <t>Name</t>
  </si>
  <si>
    <t>Surname</t>
  </si>
  <si>
    <t>Referrals</t>
  </si>
  <si>
    <t>Member Signup</t>
  </si>
  <si>
    <t>Friederang</t>
  </si>
  <si>
    <t>Confirmed Numbers</t>
  </si>
  <si>
    <t xml:space="preserve">Ian </t>
  </si>
  <si>
    <t>Value Rands</t>
  </si>
  <si>
    <t xml:space="preserve">Monroe </t>
  </si>
  <si>
    <t>Kunz</t>
  </si>
  <si>
    <t>Date Submitted</t>
  </si>
  <si>
    <t xml:space="preserve">Helen </t>
  </si>
  <si>
    <t>Jacobs</t>
  </si>
  <si>
    <t>Bonus</t>
  </si>
  <si>
    <t>Total for payment</t>
  </si>
  <si>
    <t>CSV Export File</t>
  </si>
  <si>
    <t>Import CSV File to FNB</t>
  </si>
  <si>
    <t>Authorise Payment</t>
  </si>
  <si>
    <t>Export Paid File</t>
  </si>
  <si>
    <t>Update Table</t>
  </si>
  <si>
    <t>YES</t>
  </si>
  <si>
    <t>DATA</t>
  </si>
  <si>
    <t>PRODUCTION ONTH DASH BAORD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</si>
  <si>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</si>
  <si>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</si>
  <si>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</si>
  <si>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</si>
  <si>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</si>
  <si>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</si>
  <si>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</si>
  <si>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</si>
  <si>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</si>
  <si>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</si>
  <si>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</si>
  <si>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</si>
  <si>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Member signups</t>
  </si>
  <si>
    <t>Zubeid Data</t>
  </si>
  <si>
    <t>Leads</t>
  </si>
  <si>
    <t>Unkown</t>
  </si>
  <si>
    <t>Lead Cost</t>
  </si>
  <si>
    <t>Zubeid Annuity</t>
  </si>
  <si>
    <t>Referral Leads R5</t>
  </si>
  <si>
    <t>Member signups R5</t>
  </si>
  <si>
    <t>Zubeid Data R10</t>
  </si>
  <si>
    <t>Data Cost</t>
  </si>
  <si>
    <t>Cost per Sale</t>
  </si>
  <si>
    <t>Premium Written</t>
  </si>
  <si>
    <t>Prem</t>
  </si>
  <si>
    <t>Exported Sales</t>
  </si>
  <si>
    <t>Active Agents</t>
  </si>
  <si>
    <t>Agent 2</t>
  </si>
  <si>
    <t>Agent 3</t>
  </si>
  <si>
    <t>Agent 4</t>
  </si>
  <si>
    <t>Agent 5</t>
  </si>
  <si>
    <t>Agent 6</t>
  </si>
  <si>
    <t>Agent 7</t>
  </si>
  <si>
    <t>Agent 8</t>
  </si>
  <si>
    <t>Agent 9</t>
  </si>
  <si>
    <t>Agent 10</t>
  </si>
  <si>
    <t>Agent 11</t>
  </si>
  <si>
    <t>Agent 12</t>
  </si>
  <si>
    <t>Agent 13</t>
  </si>
  <si>
    <t>Agent 14</t>
  </si>
  <si>
    <t>Agent 15</t>
  </si>
  <si>
    <t>Agent 1 - Click link &amp; see Product spread</t>
  </si>
  <si>
    <t>Data Cost %</t>
  </si>
  <si>
    <t>Debit Order</t>
  </si>
  <si>
    <t>Persal</t>
  </si>
  <si>
    <t>Successful</t>
  </si>
  <si>
    <t>Failed</t>
  </si>
  <si>
    <t>Actual Revenue</t>
  </si>
  <si>
    <t>Banked Revenue</t>
  </si>
  <si>
    <t>Lost Revenue</t>
  </si>
  <si>
    <t>Total Banked Revenue</t>
  </si>
  <si>
    <t>Total Lost Revenue</t>
  </si>
  <si>
    <t>Persal Monthly Summary</t>
  </si>
  <si>
    <t xml:space="preserve">Code </t>
  </si>
  <si>
    <t>Description</t>
  </si>
  <si>
    <t>QREC</t>
  </si>
  <si>
    <t>Recurring Premium</t>
  </si>
  <si>
    <t xml:space="preserve">QNEW </t>
  </si>
  <si>
    <t>New Deduction</t>
  </si>
  <si>
    <t>QTOS</t>
  </si>
  <si>
    <t>Termination of service</t>
  </si>
  <si>
    <t xml:space="preserve">QTOL </t>
  </si>
  <si>
    <t>Deceased</t>
  </si>
  <si>
    <t>QTOR</t>
  </si>
  <si>
    <t>Retired</t>
  </si>
  <si>
    <t xml:space="preserve">QTOD </t>
  </si>
  <si>
    <t>Deduction Terminated</t>
  </si>
  <si>
    <t xml:space="preserve">QLWP </t>
  </si>
  <si>
    <t>Leave without pay / frozen</t>
  </si>
  <si>
    <t xml:space="preserve">QSUP </t>
  </si>
  <si>
    <t>Supplementary Payment - once off</t>
  </si>
  <si>
    <t xml:space="preserve">QTOT </t>
  </si>
  <si>
    <t>Deduction Terminated (Transferred out)</t>
  </si>
  <si>
    <t>QTIN</t>
  </si>
  <si>
    <t>New Deduction (Transferred in)</t>
  </si>
  <si>
    <t>QRPL</t>
  </si>
  <si>
    <t>Reconciliation Positive</t>
  </si>
  <si>
    <t>QRMN</t>
  </si>
  <si>
    <t>Reconciliation Negative</t>
  </si>
  <si>
    <t>QREV</t>
  </si>
  <si>
    <t>Negative</t>
  </si>
  <si>
    <t>Q-Link Total</t>
  </si>
  <si>
    <t>Q-Link (Q-Rec)</t>
  </si>
  <si>
    <t>Count</t>
  </si>
  <si>
    <t>Value</t>
  </si>
  <si>
    <t>Legal - R99</t>
  </si>
  <si>
    <t>Legal - R129</t>
  </si>
  <si>
    <t>Legal - R149</t>
  </si>
  <si>
    <t>Legal - R0</t>
  </si>
  <si>
    <t>L24  - R0</t>
  </si>
  <si>
    <t>Total Book &amp; Premium</t>
  </si>
  <si>
    <t>Average Premium</t>
  </si>
  <si>
    <t>Netcash</t>
  </si>
  <si>
    <t>Lifesaver Legal</t>
  </si>
  <si>
    <t>Lifesaver Legal PSA</t>
  </si>
  <si>
    <t>LifeSaver 24</t>
  </si>
  <si>
    <t>LegalNet Premier</t>
  </si>
  <si>
    <t>LegalNet Pro</t>
  </si>
  <si>
    <t>Total</t>
  </si>
  <si>
    <t>Legal - R109</t>
  </si>
  <si>
    <t>Legal - R119</t>
  </si>
  <si>
    <t>Legal - R139</t>
  </si>
  <si>
    <t>Legal - R159</t>
  </si>
  <si>
    <t>Legal - R169</t>
  </si>
  <si>
    <t>Legal - R179</t>
  </si>
  <si>
    <t>L24 - R199</t>
  </si>
  <si>
    <t>L24 - R219</t>
  </si>
  <si>
    <t>L24 - R239</t>
  </si>
  <si>
    <t>L24 - R249</t>
  </si>
  <si>
    <t>L24 - R269</t>
  </si>
  <si>
    <t>L24  - R289</t>
  </si>
  <si>
    <t>L24  - R309</t>
  </si>
  <si>
    <t>The table needs to save the Ambassador Name and Cell phone as unique identifier</t>
  </si>
  <si>
    <r>
      <t xml:space="preserve">The Ambassador App must ensure when the Ambassador is submitting their 10 referral leads there are not duplicates and check all mobile number have 10 digits - </t>
    </r>
    <r>
      <rPr>
        <sz val="11"/>
        <color rgb="FF0070C0"/>
        <rFont val="Calibri"/>
        <family val="2"/>
        <scheme val="minor"/>
      </rPr>
      <t>perhaps we can add a preview dialler to confirm an actual number</t>
    </r>
  </si>
  <si>
    <t>Send a WhatsApp Message shown below with a link to Ambassador web page to register</t>
  </si>
  <si>
    <t>Capture</t>
  </si>
  <si>
    <t>Editor</t>
  </si>
  <si>
    <t>Ambassadors Register</t>
  </si>
  <si>
    <t>Ambassadors Submit "Member Signups"</t>
  </si>
  <si>
    <t>Ambassador gets "Congratulations Member Signup received"</t>
  </si>
  <si>
    <t>Would like to add a step where we can preview dial the submitted numbers to validate the numbers we received are actual numbers before making them available to Sales Agents</t>
  </si>
  <si>
    <t>FUTURE PROJECT</t>
  </si>
  <si>
    <t>WhatsApp</t>
  </si>
  <si>
    <t>Data added to "Ambassador Referrals Campaign"</t>
  </si>
  <si>
    <t>Ambassador Backend table is update with Referrals provided and the Ambassador Dashboard</t>
  </si>
  <si>
    <t>Data Added to Ambassador Member Signup Campaign"</t>
  </si>
  <si>
    <t>Call Centre Manager assigns leads per agent that they can dial on i.e. 5/10/15/20</t>
  </si>
  <si>
    <t>Agent login to System and selects Campaign and begins dialling on the available Leads</t>
  </si>
  <si>
    <t>Call outcome is Recorded:
-Sale Made
-Could not reach - schedule Call back
-Not interested</t>
  </si>
  <si>
    <t>Ambassador Backend table is update with Membersign ups provided and the Ambassador Dashboard</t>
  </si>
  <si>
    <t>Ambassadors Submit "Referral Leads"</t>
  </si>
  <si>
    <t>The CSV file is imported into FNB enterprise Banking and cash send payments are made</t>
  </si>
  <si>
    <t>A csv file is exported from FNB and imported into the system to update the "paid status" of Ambassadors</t>
  </si>
  <si>
    <t>This data pool feeds the Ambassador Backend reporting and analytics requirements see AMBASSADOR BACKEND</t>
  </si>
  <si>
    <t>Ambassador gets "Congratulations Referrals Received" message via WhatsApp</t>
  </si>
  <si>
    <t>Send Ambassador WhatsApp Marketing Messaging</t>
  </si>
  <si>
    <t xml:space="preserve">The Ambassador Dashboard is updated with the Ambassador Program allowing Ambassadors to view their activity &amp; Payment Status. Effectively they will get paid R10 for every lead submitted, and must submit a min of 10 at a time. So R100
</t>
  </si>
  <si>
    <t xml:space="preserve">The Ambassador Dashboard is updated with the Ambassador Program allowing Ambassadors to view their activity &amp; Payment Status. Here the Ambassador will get paid R100 per successful sale for Member sign ups.
</t>
  </si>
  <si>
    <t>A CSV table is exported from the backend table of all referral and membersign ups payment</t>
  </si>
  <si>
    <t>We add a whatsApp Message that going to the Ambassador after we have processed Payment so they are aware we have paid them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</si>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</sst>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R&quot;#,##0"/>
    <numFmt numFmtId="165" formatCode="_-* #,##0_-;\-* #,##0_-;_-* &quot;-&quot;??_-;_-@_-"/>
    <numFmt numFmtId="166" formatCode="[$R-1C09]#,##0.00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gradientFill degree="90">
        <stop position="0">
          <color theme="9" tint="0.40000610370189521"/>
        </stop>
        <stop position="1">
          <color theme="5" tint="0.40000610370189521"/>
        </stop>
      </gradient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1" fillId="2" borderId="0" xfId="0" applyFont="1" applyFill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1" fillId="0" borderId="0" xfId="0" applyFont="1"/>
    <xf numFmtId="0" fontId="5" fillId="0" borderId="0" xfId="0" applyFont="1"/>
    <xf numFmtId="0" fontId="7" fillId="0" borderId="0" xfId="0" applyFont="1"/>
    <xf numFmtId="0" fontId="6" fillId="0" borderId="0" xfId="1"/>
    <xf numFmtId="0" fontId="10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7" fontId="12" fillId="0" borderId="7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17" fontId="12" fillId="0" borderId="9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64" fontId="12" fillId="0" borderId="10" xfId="0" applyNumberFormat="1" applyFont="1" applyBorder="1" applyAlignment="1">
      <alignment horizontal="center"/>
    </xf>
    <xf numFmtId="164" fontId="12" fillId="0" borderId="11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8" fillId="0" borderId="0" xfId="0" applyFont="1"/>
    <xf numFmtId="0" fontId="12" fillId="0" borderId="0" xfId="0" applyFont="1" applyAlignment="1">
      <alignment horizontal="center" vertical="center" wrapText="1"/>
    </xf>
    <xf numFmtId="0" fontId="16" fillId="0" borderId="0" xfId="0" applyFont="1"/>
    <xf numFmtId="0" fontId="17" fillId="0" borderId="0" xfId="0" applyFont="1" applyAlignment="1">
      <alignment horizontal="center"/>
    </xf>
    <xf numFmtId="15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/>
    <xf numFmtId="3" fontId="0" fillId="0" borderId="12" xfId="0" applyNumberFormat="1" applyBorder="1"/>
    <xf numFmtId="3" fontId="2" fillId="0" borderId="12" xfId="0" applyNumberFormat="1" applyFont="1" applyBorder="1"/>
    <xf numFmtId="0" fontId="0" fillId="0" borderId="12" xfId="0" applyBorder="1" applyAlignment="1">
      <alignment horizontal="center"/>
    </xf>
    <xf numFmtId="9" fontId="0" fillId="0" borderId="0" xfId="3" applyFont="1"/>
    <xf numFmtId="0" fontId="2" fillId="0" borderId="12" xfId="0" applyFont="1" applyBorder="1" applyAlignment="1">
      <alignment horizontal="center"/>
    </xf>
    <xf numFmtId="3" fontId="2" fillId="0" borderId="0" xfId="0" applyNumberFormat="1" applyFont="1"/>
    <xf numFmtId="0" fontId="12" fillId="0" borderId="0" xfId="0" applyFont="1"/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/>
    <xf numFmtId="0" fontId="2" fillId="3" borderId="13" xfId="0" applyFont="1" applyFill="1" applyBorder="1" applyAlignment="1">
      <alignment horizontal="center" vertical="center"/>
    </xf>
    <xf numFmtId="17" fontId="2" fillId="3" borderId="13" xfId="0" applyNumberFormat="1" applyFont="1" applyFill="1" applyBorder="1" applyAlignment="1">
      <alignment horizontal="center" vertical="center"/>
    </xf>
    <xf numFmtId="0" fontId="21" fillId="0" borderId="0" xfId="0" applyFont="1"/>
    <xf numFmtId="165" fontId="0" fillId="0" borderId="0" xfId="2" applyNumberFormat="1" applyFont="1"/>
    <xf numFmtId="49" fontId="0" fillId="0" borderId="14" xfId="0" applyNumberFormat="1" applyBorder="1"/>
    <xf numFmtId="49" fontId="0" fillId="0" borderId="0" xfId="0" applyNumberFormat="1"/>
    <xf numFmtId="0" fontId="22" fillId="0" borderId="0" xfId="0" applyFont="1"/>
    <xf numFmtId="0" fontId="22" fillId="0" borderId="15" xfId="0" applyFont="1" applyBorder="1"/>
    <xf numFmtId="0" fontId="0" fillId="0" borderId="15" xfId="0" applyBorder="1"/>
    <xf numFmtId="3" fontId="0" fillId="0" borderId="15" xfId="0" applyNumberFormat="1" applyBorder="1"/>
    <xf numFmtId="0" fontId="2" fillId="3" borderId="13" xfId="0" applyFont="1" applyFill="1" applyBorder="1" applyAlignment="1">
      <alignment horizontal="center"/>
    </xf>
    <xf numFmtId="0" fontId="2" fillId="3" borderId="13" xfId="0" applyFont="1" applyFill="1" applyBorder="1"/>
    <xf numFmtId="165" fontId="2" fillId="3" borderId="13" xfId="2" applyNumberFormat="1" applyFont="1" applyFill="1" applyBorder="1" applyAlignment="1">
      <alignment horizontal="center" vertical="center"/>
    </xf>
    <xf numFmtId="166" fontId="2" fillId="3" borderId="13" xfId="0" applyNumberFormat="1" applyFont="1" applyFill="1" applyBorder="1" applyAlignment="1">
      <alignment horizontal="center" vertical="center"/>
    </xf>
    <xf numFmtId="166" fontId="20" fillId="0" borderId="0" xfId="0" applyNumberFormat="1" applyFont="1"/>
    <xf numFmtId="165" fontId="2" fillId="0" borderId="12" xfId="2" applyNumberFormat="1" applyFont="1" applyBorder="1"/>
    <xf numFmtId="166" fontId="8" fillId="0" borderId="12" xfId="0" applyNumberFormat="1" applyFont="1" applyBorder="1"/>
    <xf numFmtId="165" fontId="2" fillId="0" borderId="0" xfId="2" applyNumberFormat="1" applyFont="1" applyBorder="1"/>
    <xf numFmtId="166" fontId="8" fillId="0" borderId="0" xfId="0" applyNumberFormat="1" applyFont="1"/>
    <xf numFmtId="166" fontId="0" fillId="0" borderId="0" xfId="0" applyNumberFormat="1"/>
    <xf numFmtId="166" fontId="20" fillId="0" borderId="12" xfId="0" applyNumberFormat="1" applyFont="1" applyBorder="1"/>
    <xf numFmtId="0" fontId="0" fillId="0" borderId="13" xfId="0" applyBorder="1"/>
    <xf numFmtId="0" fontId="0" fillId="0" borderId="16" xfId="0" applyBorder="1"/>
    <xf numFmtId="165" fontId="0" fillId="0" borderId="16" xfId="2" applyNumberFormat="1" applyFont="1" applyBorder="1"/>
    <xf numFmtId="166" fontId="0" fillId="0" borderId="16" xfId="0" applyNumberFormat="1" applyBorder="1"/>
    <xf numFmtId="0" fontId="0" fillId="0" borderId="17" xfId="0" applyBorder="1"/>
    <xf numFmtId="166" fontId="20" fillId="0" borderId="17" xfId="0" applyNumberFormat="1" applyFont="1" applyBorder="1"/>
    <xf numFmtId="165" fontId="20" fillId="0" borderId="17" xfId="2" applyNumberFormat="1" applyFont="1" applyBorder="1"/>
    <xf numFmtId="0" fontId="9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0" fillId="0" borderId="18" xfId="0" applyBorder="1"/>
    <xf numFmtId="0" fontId="0" fillId="4" borderId="0" xfId="0" applyFill="1" applyAlignment="1">
      <alignment wrapText="1"/>
    </xf>
    <xf numFmtId="0" fontId="0" fillId="4" borderId="0" xfId="0" applyFill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vertical="center" wrapText="1"/>
    </xf>
    <xf numFmtId="0" fontId="0" fillId="0" borderId="0" xfId="0" applyAlignment="1"/>
    <xf numFmtId="0" fontId="0" fillId="4" borderId="18" xfId="0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/>
    </xf>
    <xf numFmtId="0" fontId="23" fillId="7" borderId="0" xfId="0" applyFont="1" applyFill="1" applyAlignment="1">
      <alignment horizontal="center"/>
    </xf>
  </cellXfs>
  <cellStyles count="5">
    <cellStyle name="Comma" xfId="2" builtinId="3"/>
    <cellStyle name="Comma 2" xfId="4" xr:uid="{A6069EDB-1DCA-4075-8C6C-CBAB2A88F71C}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i_mn8nlu0x1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175260</xdr:colOff>
      <xdr:row>3</xdr:row>
      <xdr:rowOff>152400</xdr:rowOff>
    </xdr:from>
    <xdr:to>
      <xdr:col>1</xdr:col>
      <xdr:colOff>381000</xdr:colOff>
      <xdr:row>3</xdr:row>
      <xdr:rowOff>266700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666D799C-E51B-B5FB-2F52-A183BF699291}"/>
            </a:ext>
          </a:extLst>
        </xdr:cNvPr>
        <xdr:cNvSpPr/>
      </xdr:nvSpPr>
      <xdr:spPr>
        <a:xfrm>
          <a:off x="1943100" y="701040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228600</xdr:colOff>
      <xdr:row>3</xdr:row>
      <xdr:rowOff>152400</xdr:rowOff>
    </xdr:from>
    <xdr:to>
      <xdr:col>3</xdr:col>
      <xdr:colOff>434340</xdr:colOff>
      <xdr:row>3</xdr:row>
      <xdr:rowOff>266700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EEC85660-041D-4DBD-BF17-96D80282263D}"/>
            </a:ext>
          </a:extLst>
        </xdr:cNvPr>
        <xdr:cNvSpPr/>
      </xdr:nvSpPr>
      <xdr:spPr>
        <a:xfrm>
          <a:off x="4381500" y="701040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365760</xdr:colOff>
      <xdr:row>3</xdr:row>
      <xdr:rowOff>129540</xdr:rowOff>
    </xdr:from>
    <xdr:to>
      <xdr:col>5</xdr:col>
      <xdr:colOff>571500</xdr:colOff>
      <xdr:row>3</xdr:row>
      <xdr:rowOff>243840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1316CD98-6994-43DE-8F14-D3C1F262B7FD}"/>
            </a:ext>
          </a:extLst>
        </xdr:cNvPr>
        <xdr:cNvSpPr/>
      </xdr:nvSpPr>
      <xdr:spPr>
        <a:xfrm>
          <a:off x="7056120" y="678180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830580</xdr:colOff>
      <xdr:row>4</xdr:row>
      <xdr:rowOff>99060</xdr:rowOff>
    </xdr:from>
    <xdr:to>
      <xdr:col>4</xdr:col>
      <xdr:colOff>944880</xdr:colOff>
      <xdr:row>4</xdr:row>
      <xdr:rowOff>304800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3AC8FDD-8942-4EEF-9122-08438D67973F}"/>
            </a:ext>
          </a:extLst>
        </xdr:cNvPr>
        <xdr:cNvSpPr/>
      </xdr:nvSpPr>
      <xdr:spPr>
        <a:xfrm rot="5400000">
          <a:off x="5707380" y="1059180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845820</xdr:colOff>
      <xdr:row>4</xdr:row>
      <xdr:rowOff>91440</xdr:rowOff>
    </xdr:from>
    <xdr:to>
      <xdr:col>6</xdr:col>
      <xdr:colOff>960120</xdr:colOff>
      <xdr:row>4</xdr:row>
      <xdr:rowOff>297180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06BBFA6F-9818-4748-96A6-E54A7E6A9A84}"/>
            </a:ext>
          </a:extLst>
        </xdr:cNvPr>
        <xdr:cNvSpPr/>
      </xdr:nvSpPr>
      <xdr:spPr>
        <a:xfrm rot="5400000">
          <a:off x="8305800" y="1051560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827314</xdr:colOff>
      <xdr:row>6</xdr:row>
      <xdr:rowOff>116114</xdr:rowOff>
    </xdr:from>
    <xdr:to>
      <xdr:col>4</xdr:col>
      <xdr:colOff>941614</xdr:colOff>
      <xdr:row>6</xdr:row>
      <xdr:rowOff>321854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FDC046EF-B7DB-4AA3-9179-D5C00A28AF1D}"/>
            </a:ext>
          </a:extLst>
        </xdr:cNvPr>
        <xdr:cNvSpPr/>
      </xdr:nvSpPr>
      <xdr:spPr>
        <a:xfrm rot="5400000">
          <a:off x="5709194" y="2005148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820057</xdr:colOff>
      <xdr:row>6</xdr:row>
      <xdr:rowOff>137886</xdr:rowOff>
    </xdr:from>
    <xdr:to>
      <xdr:col>6</xdr:col>
      <xdr:colOff>934357</xdr:colOff>
      <xdr:row>6</xdr:row>
      <xdr:rowOff>343626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5381B04C-62E2-45D5-AD2D-2A26547F36E0}"/>
            </a:ext>
          </a:extLst>
        </xdr:cNvPr>
        <xdr:cNvSpPr/>
      </xdr:nvSpPr>
      <xdr:spPr>
        <a:xfrm rot="5400000">
          <a:off x="8648337" y="2026920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783772</xdr:colOff>
      <xdr:row>8</xdr:row>
      <xdr:rowOff>101600</xdr:rowOff>
    </xdr:from>
    <xdr:to>
      <xdr:col>4</xdr:col>
      <xdr:colOff>898072</xdr:colOff>
      <xdr:row>8</xdr:row>
      <xdr:rowOff>307340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652D2353-1C76-4DF1-B8DC-E89594D64DE0}"/>
            </a:ext>
          </a:extLst>
        </xdr:cNvPr>
        <xdr:cNvSpPr/>
      </xdr:nvSpPr>
      <xdr:spPr>
        <a:xfrm rot="5400000">
          <a:off x="5665652" y="3674291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762000</xdr:colOff>
      <xdr:row>8</xdr:row>
      <xdr:rowOff>87086</xdr:rowOff>
    </xdr:from>
    <xdr:to>
      <xdr:col>6</xdr:col>
      <xdr:colOff>876300</xdr:colOff>
      <xdr:row>8</xdr:row>
      <xdr:rowOff>292826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33A8BA8E-B0D0-446E-8D0C-DA5C0223193B}"/>
            </a:ext>
          </a:extLst>
        </xdr:cNvPr>
        <xdr:cNvSpPr/>
      </xdr:nvSpPr>
      <xdr:spPr>
        <a:xfrm rot="5400000">
          <a:off x="8590280" y="3659777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762000</xdr:colOff>
      <xdr:row>10</xdr:row>
      <xdr:rowOff>108857</xdr:rowOff>
    </xdr:from>
    <xdr:to>
      <xdr:col>4</xdr:col>
      <xdr:colOff>876300</xdr:colOff>
      <xdr:row>10</xdr:row>
      <xdr:rowOff>314597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92A165DF-A67F-49B3-AB42-A942C19ED6A7}"/>
            </a:ext>
          </a:extLst>
        </xdr:cNvPr>
        <xdr:cNvSpPr/>
      </xdr:nvSpPr>
      <xdr:spPr>
        <a:xfrm rot="5400000">
          <a:off x="5643880" y="4429034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783772</xdr:colOff>
      <xdr:row>10</xdr:row>
      <xdr:rowOff>108857</xdr:rowOff>
    </xdr:from>
    <xdr:to>
      <xdr:col>6</xdr:col>
      <xdr:colOff>898072</xdr:colOff>
      <xdr:row>10</xdr:row>
      <xdr:rowOff>314597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8FE15D67-435B-43F9-88FD-75A7F9376FD3}"/>
            </a:ext>
          </a:extLst>
        </xdr:cNvPr>
        <xdr:cNvSpPr/>
      </xdr:nvSpPr>
      <xdr:spPr>
        <a:xfrm rot="5400000">
          <a:off x="8612052" y="4429034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703943</xdr:colOff>
      <xdr:row>12</xdr:row>
      <xdr:rowOff>79829</xdr:rowOff>
    </xdr:from>
    <xdr:to>
      <xdr:col>4</xdr:col>
      <xdr:colOff>818243</xdr:colOff>
      <xdr:row>12</xdr:row>
      <xdr:rowOff>285569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53789E37-AB60-495D-A370-3D107332783E}"/>
            </a:ext>
          </a:extLst>
        </xdr:cNvPr>
        <xdr:cNvSpPr/>
      </xdr:nvSpPr>
      <xdr:spPr>
        <a:xfrm rot="5400000">
          <a:off x="5585823" y="5336178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732971</xdr:colOff>
      <xdr:row>12</xdr:row>
      <xdr:rowOff>58057</xdr:rowOff>
    </xdr:from>
    <xdr:to>
      <xdr:col>6</xdr:col>
      <xdr:colOff>847271</xdr:colOff>
      <xdr:row>12</xdr:row>
      <xdr:rowOff>263797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F486D780-B8B1-4DF2-9024-564C39209C3F}"/>
            </a:ext>
          </a:extLst>
        </xdr:cNvPr>
        <xdr:cNvSpPr/>
      </xdr:nvSpPr>
      <xdr:spPr>
        <a:xfrm rot="5400000">
          <a:off x="8561251" y="5314406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718457</xdr:colOff>
      <xdr:row>14</xdr:row>
      <xdr:rowOff>87086</xdr:rowOff>
    </xdr:from>
    <xdr:to>
      <xdr:col>4</xdr:col>
      <xdr:colOff>832757</xdr:colOff>
      <xdr:row>14</xdr:row>
      <xdr:rowOff>292826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D80BA612-2A1A-4B5E-A5E1-EF1942E9403D}"/>
            </a:ext>
          </a:extLst>
        </xdr:cNvPr>
        <xdr:cNvSpPr/>
      </xdr:nvSpPr>
      <xdr:spPr>
        <a:xfrm rot="5400000">
          <a:off x="5600337" y="6279606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747486</xdr:colOff>
      <xdr:row>14</xdr:row>
      <xdr:rowOff>79828</xdr:rowOff>
    </xdr:from>
    <xdr:to>
      <xdr:col>6</xdr:col>
      <xdr:colOff>861786</xdr:colOff>
      <xdr:row>14</xdr:row>
      <xdr:rowOff>285568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A78D4195-5C5B-4129-90CC-64C0AC273D10}"/>
            </a:ext>
          </a:extLst>
        </xdr:cNvPr>
        <xdr:cNvSpPr/>
      </xdr:nvSpPr>
      <xdr:spPr>
        <a:xfrm rot="5400000">
          <a:off x="8575766" y="6272348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711200</xdr:colOff>
      <xdr:row>16</xdr:row>
      <xdr:rowOff>87086</xdr:rowOff>
    </xdr:from>
    <xdr:to>
      <xdr:col>4</xdr:col>
      <xdr:colOff>825500</xdr:colOff>
      <xdr:row>16</xdr:row>
      <xdr:rowOff>292826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50E566B1-6B3C-49D9-BA2B-415F29EFA7B6}"/>
            </a:ext>
          </a:extLst>
        </xdr:cNvPr>
        <xdr:cNvSpPr/>
      </xdr:nvSpPr>
      <xdr:spPr>
        <a:xfrm rot="5400000">
          <a:off x="5593080" y="7578635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791028</xdr:colOff>
      <xdr:row>16</xdr:row>
      <xdr:rowOff>79829</xdr:rowOff>
    </xdr:from>
    <xdr:to>
      <xdr:col>6</xdr:col>
      <xdr:colOff>905328</xdr:colOff>
      <xdr:row>16</xdr:row>
      <xdr:rowOff>285569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7F408163-5B91-4F04-9401-B80C98CDAF64}"/>
            </a:ext>
          </a:extLst>
        </xdr:cNvPr>
        <xdr:cNvSpPr/>
      </xdr:nvSpPr>
      <xdr:spPr>
        <a:xfrm rot="5400000">
          <a:off x="8619308" y="7571378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769257</xdr:colOff>
      <xdr:row>18</xdr:row>
      <xdr:rowOff>58057</xdr:rowOff>
    </xdr:from>
    <xdr:to>
      <xdr:col>4</xdr:col>
      <xdr:colOff>883557</xdr:colOff>
      <xdr:row>18</xdr:row>
      <xdr:rowOff>263797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0EC28B69-09F3-4D4F-89BB-6DB86E99F666}"/>
            </a:ext>
          </a:extLst>
        </xdr:cNvPr>
        <xdr:cNvSpPr/>
      </xdr:nvSpPr>
      <xdr:spPr>
        <a:xfrm rot="5400000">
          <a:off x="5651137" y="9944463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805543</xdr:colOff>
      <xdr:row>18</xdr:row>
      <xdr:rowOff>65314</xdr:rowOff>
    </xdr:from>
    <xdr:to>
      <xdr:col>6</xdr:col>
      <xdr:colOff>919843</xdr:colOff>
      <xdr:row>18</xdr:row>
      <xdr:rowOff>271054</xdr:rowOff>
    </xdr:to>
    <xdr:sp macro="" textlink="">
      <xdr:nvSpPr>
        <xdr:cNvPr id="20" name="Arrow: Right 19">
          <a:extLst>
            <a:ext uri="{FF2B5EF4-FFF2-40B4-BE49-F238E27FC236}">
              <a16:creationId xmlns:a16="http://schemas.microsoft.com/office/drawing/2014/main" id="{1E8B5A1D-B5BF-4C5D-943F-7E3AAB7206C7}"/>
            </a:ext>
          </a:extLst>
        </xdr:cNvPr>
        <xdr:cNvSpPr/>
      </xdr:nvSpPr>
      <xdr:spPr>
        <a:xfrm rot="5400000">
          <a:off x="8633823" y="9951720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449943</xdr:colOff>
      <xdr:row>22</xdr:row>
      <xdr:rowOff>101600</xdr:rowOff>
    </xdr:from>
    <xdr:to>
      <xdr:col>5</xdr:col>
      <xdr:colOff>564243</xdr:colOff>
      <xdr:row>22</xdr:row>
      <xdr:rowOff>307340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6155C5DF-7547-4CFA-8D9A-78A26A9BD915}"/>
            </a:ext>
          </a:extLst>
        </xdr:cNvPr>
        <xdr:cNvSpPr/>
      </xdr:nvSpPr>
      <xdr:spPr>
        <a:xfrm rot="5400000">
          <a:off x="7102566" y="12586063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449943</xdr:colOff>
      <xdr:row>24</xdr:row>
      <xdr:rowOff>87086</xdr:rowOff>
    </xdr:from>
    <xdr:to>
      <xdr:col>5</xdr:col>
      <xdr:colOff>564243</xdr:colOff>
      <xdr:row>24</xdr:row>
      <xdr:rowOff>292826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00074424-4A47-43AD-8782-CE68D75083BB}"/>
            </a:ext>
          </a:extLst>
        </xdr:cNvPr>
        <xdr:cNvSpPr/>
      </xdr:nvSpPr>
      <xdr:spPr>
        <a:xfrm rot="5400000">
          <a:off x="7102566" y="13870577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486229</xdr:colOff>
      <xdr:row>26</xdr:row>
      <xdr:rowOff>108857</xdr:rowOff>
    </xdr:from>
    <xdr:to>
      <xdr:col>5</xdr:col>
      <xdr:colOff>600529</xdr:colOff>
      <xdr:row>26</xdr:row>
      <xdr:rowOff>314597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110E5EB6-C641-4DFD-ACCA-19AAA42CAAFD}"/>
            </a:ext>
          </a:extLst>
        </xdr:cNvPr>
        <xdr:cNvSpPr/>
      </xdr:nvSpPr>
      <xdr:spPr>
        <a:xfrm rot="5400000">
          <a:off x="7138852" y="15554234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709023</xdr:colOff>
      <xdr:row>20</xdr:row>
      <xdr:rowOff>205376</xdr:rowOff>
    </xdr:from>
    <xdr:to>
      <xdr:col>6</xdr:col>
      <xdr:colOff>914763</xdr:colOff>
      <xdr:row>20</xdr:row>
      <xdr:rowOff>319676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B389A654-27ED-42C8-AF75-ACC0DA626442}"/>
            </a:ext>
          </a:extLst>
        </xdr:cNvPr>
        <xdr:cNvSpPr/>
      </xdr:nvSpPr>
      <xdr:spPr>
        <a:xfrm rot="8566049">
          <a:off x="8583023" y="11163662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667657</xdr:colOff>
      <xdr:row>20</xdr:row>
      <xdr:rowOff>166914</xdr:rowOff>
    </xdr:from>
    <xdr:to>
      <xdr:col>4</xdr:col>
      <xdr:colOff>873397</xdr:colOff>
      <xdr:row>20</xdr:row>
      <xdr:rowOff>281214</xdr:rowOff>
    </xdr:to>
    <xdr:sp macro="" textlink="">
      <xdr:nvSpPr>
        <xdr:cNvPr id="25" name="Arrow: Right 24">
          <a:extLst>
            <a:ext uri="{FF2B5EF4-FFF2-40B4-BE49-F238E27FC236}">
              <a16:creationId xmlns:a16="http://schemas.microsoft.com/office/drawing/2014/main" id="{8C2FF25A-206D-4CB3-A087-B41F3FCFE5DD}"/>
            </a:ext>
          </a:extLst>
        </xdr:cNvPr>
        <xdr:cNvSpPr/>
      </xdr:nvSpPr>
      <xdr:spPr>
        <a:xfrm rot="2397809">
          <a:off x="5595257" y="11125200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1632857</xdr:colOff>
      <xdr:row>28</xdr:row>
      <xdr:rowOff>94342</xdr:rowOff>
    </xdr:from>
    <xdr:to>
      <xdr:col>4</xdr:col>
      <xdr:colOff>1747157</xdr:colOff>
      <xdr:row>28</xdr:row>
      <xdr:rowOff>300082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86B70D95-9A4F-471C-B4AB-AAE1AFB73109}"/>
            </a:ext>
          </a:extLst>
        </xdr:cNvPr>
        <xdr:cNvSpPr/>
      </xdr:nvSpPr>
      <xdr:spPr>
        <a:xfrm rot="7425385">
          <a:off x="6514737" y="17753148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43543</xdr:colOff>
      <xdr:row>28</xdr:row>
      <xdr:rowOff>108857</xdr:rowOff>
    </xdr:from>
    <xdr:to>
      <xdr:col>6</xdr:col>
      <xdr:colOff>157843</xdr:colOff>
      <xdr:row>28</xdr:row>
      <xdr:rowOff>314597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47686314-1604-40E7-9B16-9D38389A516C}"/>
            </a:ext>
          </a:extLst>
        </xdr:cNvPr>
        <xdr:cNvSpPr/>
      </xdr:nvSpPr>
      <xdr:spPr>
        <a:xfrm rot="3179374">
          <a:off x="7871823" y="17767663"/>
          <a:ext cx="205740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38100</xdr:rowOff>
    </xdr:from>
    <xdr:to>
      <xdr:col>4</xdr:col>
      <xdr:colOff>314325</xdr:colOff>
      <xdr:row>103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C01F4-667F-F550-02DF-DAE37B9B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325600"/>
          <a:ext cx="2143125" cy="535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28575</xdr:colOff>
      <xdr:row>42</xdr:row>
      <xdr:rowOff>171450</xdr:rowOff>
    </xdr:from>
    <xdr:to>
      <xdr:col>5</xdr:col>
      <xdr:colOff>47625</xdr:colOff>
      <xdr:row>71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47AFC7-C97D-9914-FFDE-001C3076D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8172450"/>
          <a:ext cx="2457450" cy="535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247650</xdr:colOff>
      <xdr:row>8</xdr:row>
      <xdr:rowOff>38100</xdr:rowOff>
    </xdr:from>
    <xdr:to>
      <xdr:col>4</xdr:col>
      <xdr:colOff>466725</xdr:colOff>
      <xdr:row>36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57FB84-9794-A639-2A90-0D2590499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1562100"/>
          <a:ext cx="2047875" cy="535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14</xdr:row>
      <xdr:rowOff>28575</xdr:rowOff>
    </xdr:from>
    <xdr:to>
      <xdr:col>3</xdr:col>
      <xdr:colOff>571500</xdr:colOff>
      <xdr:row>14</xdr:row>
      <xdr:rowOff>190500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33268CB4-BE3F-801C-5833-1AA11D453E11}"/>
            </a:ext>
          </a:extLst>
        </xdr:cNvPr>
        <xdr:cNvSpPr/>
      </xdr:nvSpPr>
      <xdr:spPr>
        <a:xfrm rot="10800000">
          <a:off x="2790825" y="2705100"/>
          <a:ext cx="142875" cy="16192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xpro.co.za/" TargetMode="External"/><Relationship Id="rId1" Type="http://schemas.openxmlformats.org/officeDocument/2006/relationships/hyperlink" Target="https://lifesaverambassado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lifesaverambassador.com/" TargetMode="External"/><Relationship Id="rId1" Type="http://schemas.openxmlformats.org/officeDocument/2006/relationships/hyperlink" Target="http://lifesaverambassador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3957-D3C9-4E8A-ACE8-2CE3CEFA5633}">
  <dimension ref="B2:E23"/>
  <sheetViews>
    <sheetView workbookViewId="0">
      <selection activeCell="B4" sqref="B4:B23"/>
    </sheetView>
  </sheetViews>
  <sheetFormatPr defaultRowHeight="14.4" x14ac:dyDescent="0.3"/>
  <cols>
    <col min="2" max="2" width="59.6640625" customWidth="1"/>
    <col min="3" max="3" width="19.33203125" bestFit="1" customWidth="1"/>
    <col min="4" max="4" width="60" customWidth="1"/>
  </cols>
  <sheetData>
    <row r="2" spans="2:5" x14ac:dyDescent="0.3">
      <c r="B2" s="11" t="s">
        <v>78</v>
      </c>
      <c r="C2" s="11" t="s">
        <v>79</v>
      </c>
      <c r="E2" s="11" t="s">
        <v>80</v>
      </c>
    </row>
    <row r="4" spans="2:5" x14ac:dyDescent="0.3">
      <c r="B4" s="2" t="s">
        <v>81</v>
      </c>
      <c r="C4" s="2" t="s">
        <v>82</v>
      </c>
      <c r="E4" s="2" t="s">
        <v>83</v>
      </c>
    </row>
    <row r="5" spans="2:5" x14ac:dyDescent="0.3">
      <c r="B5" t="s">
        <v>84</v>
      </c>
      <c r="C5" t="s">
        <v>85</v>
      </c>
      <c r="E5" t="s">
        <v>86</v>
      </c>
    </row>
    <row r="6" spans="2:5" x14ac:dyDescent="0.3">
      <c r="B6" s="12" t="s">
        <v>87</v>
      </c>
      <c r="C6" s="12" t="s">
        <v>88</v>
      </c>
    </row>
    <row r="7" spans="2:5" x14ac:dyDescent="0.3">
      <c r="C7" t="s">
        <v>89</v>
      </c>
    </row>
    <row r="8" spans="2:5" x14ac:dyDescent="0.3">
      <c r="C8" t="s">
        <v>90</v>
      </c>
      <c r="D8" t="s">
        <v>91</v>
      </c>
    </row>
    <row r="9" spans="2:5" x14ac:dyDescent="0.3">
      <c r="C9" t="s">
        <v>92</v>
      </c>
      <c r="D9" t="s">
        <v>93</v>
      </c>
    </row>
    <row r="11" spans="2:5" x14ac:dyDescent="0.3">
      <c r="B11" t="s">
        <v>94</v>
      </c>
      <c r="C11" t="s">
        <v>94</v>
      </c>
      <c r="E11" t="s">
        <v>94</v>
      </c>
    </row>
    <row r="12" spans="2:5" x14ac:dyDescent="0.3">
      <c r="B12" t="s">
        <v>95</v>
      </c>
      <c r="C12" t="s">
        <v>96</v>
      </c>
      <c r="E12" t="s">
        <v>97</v>
      </c>
    </row>
    <row r="13" spans="2:5" x14ac:dyDescent="0.3">
      <c r="B13" t="s">
        <v>119</v>
      </c>
      <c r="C13" t="s">
        <v>98</v>
      </c>
      <c r="E13" t="s">
        <v>99</v>
      </c>
    </row>
    <row r="14" spans="2:5" x14ac:dyDescent="0.3">
      <c r="B14" t="s">
        <v>120</v>
      </c>
      <c r="C14" t="s">
        <v>100</v>
      </c>
      <c r="E14" t="s">
        <v>101</v>
      </c>
    </row>
    <row r="15" spans="2:5" x14ac:dyDescent="0.3">
      <c r="B15" t="s">
        <v>102</v>
      </c>
      <c r="C15" t="s">
        <v>103</v>
      </c>
      <c r="E15" t="s">
        <v>104</v>
      </c>
    </row>
    <row r="16" spans="2:5" x14ac:dyDescent="0.3">
      <c r="C16" t="s">
        <v>105</v>
      </c>
      <c r="E16" t="s">
        <v>106</v>
      </c>
    </row>
    <row r="17" spans="2:5" x14ac:dyDescent="0.3">
      <c r="B17" t="s">
        <v>107</v>
      </c>
    </row>
    <row r="18" spans="2:5" x14ac:dyDescent="0.3">
      <c r="B18" t="s">
        <v>108</v>
      </c>
      <c r="C18" t="s">
        <v>109</v>
      </c>
      <c r="E18" t="s">
        <v>110</v>
      </c>
    </row>
    <row r="19" spans="2:5" x14ac:dyDescent="0.3">
      <c r="C19" t="s">
        <v>111</v>
      </c>
    </row>
    <row r="20" spans="2:5" x14ac:dyDescent="0.3">
      <c r="B20" t="s">
        <v>112</v>
      </c>
    </row>
    <row r="21" spans="2:5" x14ac:dyDescent="0.3">
      <c r="B21" t="s">
        <v>113</v>
      </c>
      <c r="C21" t="s">
        <v>114</v>
      </c>
    </row>
    <row r="22" spans="2:5" x14ac:dyDescent="0.3">
      <c r="B22" t="s">
        <v>115</v>
      </c>
      <c r="C22" t="s">
        <v>116</v>
      </c>
    </row>
    <row r="23" spans="2:5" x14ac:dyDescent="0.3">
      <c r="B23" t="s">
        <v>117</v>
      </c>
      <c r="C23" t="s">
        <v>118</v>
      </c>
    </row>
  </sheetData>
  <hyperlinks>
    <hyperlink ref="B6" r:id="rId1" xr:uid="{0DB7FB1F-AA94-47FF-B7A4-C98C3ACC5F4E}"/>
    <hyperlink ref="C6" r:id="rId2" xr:uid="{30099294-42AD-4743-88DA-06BC790174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7C52-5221-4473-B351-A65332F78468}">
  <dimension ref="A3:G31"/>
  <sheetViews>
    <sheetView tabSelected="1" zoomScale="105" workbookViewId="0">
      <selection activeCell="G1" sqref="G1"/>
    </sheetView>
  </sheetViews>
  <sheetFormatPr defaultRowHeight="14.4" x14ac:dyDescent="0.3"/>
  <cols>
    <col min="1" max="1" width="25.77734375" customWidth="1"/>
    <col min="2" max="2" width="9" customWidth="1"/>
    <col min="3" max="3" width="25.77734375" customWidth="1"/>
    <col min="4" max="4" width="11.21875" customWidth="1"/>
    <col min="5" max="5" width="25.77734375" customWidth="1"/>
    <col min="6" max="6" width="17.109375" customWidth="1"/>
    <col min="7" max="16" width="25.77734375" customWidth="1"/>
  </cols>
  <sheetData>
    <row r="3" spans="1:7" x14ac:dyDescent="0.3">
      <c r="B3" s="2"/>
    </row>
    <row r="4" spans="1:7" ht="28.8" x14ac:dyDescent="0.3">
      <c r="A4" s="76" t="s">
        <v>314</v>
      </c>
      <c r="C4" s="76" t="s">
        <v>296</v>
      </c>
      <c r="E4" s="76" t="s">
        <v>309</v>
      </c>
      <c r="G4" s="76" t="s">
        <v>297</v>
      </c>
    </row>
    <row r="5" spans="1:7" ht="30" customHeight="1" x14ac:dyDescent="0.3">
      <c r="B5" s="12"/>
    </row>
    <row r="6" spans="1:7" ht="57.6" x14ac:dyDescent="0.3">
      <c r="C6" s="31" t="s">
        <v>301</v>
      </c>
      <c r="E6" s="76" t="s">
        <v>313</v>
      </c>
      <c r="G6" s="76" t="s">
        <v>298</v>
      </c>
    </row>
    <row r="7" spans="1:7" ht="30" customHeight="1" thickBot="1" x14ac:dyDescent="0.35">
      <c r="B7" s="12"/>
    </row>
    <row r="8" spans="1:7" ht="102" thickTop="1" thickBot="1" x14ac:dyDescent="0.35">
      <c r="C8" s="73" t="s">
        <v>300</v>
      </c>
      <c r="D8" s="74"/>
      <c r="E8" s="77" t="s">
        <v>299</v>
      </c>
      <c r="F8" s="74"/>
      <c r="G8" s="77" t="s">
        <v>299</v>
      </c>
    </row>
    <row r="9" spans="1:7" ht="30" customHeight="1" thickTop="1" x14ac:dyDescent="0.3">
      <c r="B9" s="12"/>
    </row>
    <row r="10" spans="1:7" ht="28.8" x14ac:dyDescent="0.3">
      <c r="C10" s="31"/>
      <c r="E10" s="78" t="s">
        <v>302</v>
      </c>
      <c r="G10" s="78" t="s">
        <v>304</v>
      </c>
    </row>
    <row r="11" spans="1:7" ht="30" customHeight="1" x14ac:dyDescent="0.3">
      <c r="B11" s="12"/>
    </row>
    <row r="12" spans="1:7" ht="43.2" x14ac:dyDescent="0.3">
      <c r="C12" s="81"/>
      <c r="E12" s="78" t="s">
        <v>305</v>
      </c>
      <c r="G12" s="78" t="s">
        <v>305</v>
      </c>
    </row>
    <row r="13" spans="1:7" ht="30" customHeight="1" x14ac:dyDescent="0.3">
      <c r="B13" s="12"/>
    </row>
    <row r="14" spans="1:7" ht="43.2" x14ac:dyDescent="0.3">
      <c r="C14" s="81"/>
      <c r="E14" s="78" t="s">
        <v>306</v>
      </c>
      <c r="G14" s="78" t="s">
        <v>306</v>
      </c>
    </row>
    <row r="15" spans="1:7" ht="30" customHeight="1" x14ac:dyDescent="0.3">
      <c r="B15" s="12"/>
    </row>
    <row r="16" spans="1:7" ht="72" x14ac:dyDescent="0.3">
      <c r="C16" s="81"/>
      <c r="E16" s="79" t="s">
        <v>307</v>
      </c>
      <c r="G16" s="79" t="s">
        <v>307</v>
      </c>
    </row>
    <row r="17" spans="2:7" ht="30" customHeight="1" x14ac:dyDescent="0.3">
      <c r="B17" s="12"/>
    </row>
    <row r="18" spans="2:7" ht="172.8" x14ac:dyDescent="0.3">
      <c r="E18" s="75" t="s">
        <v>315</v>
      </c>
      <c r="G18" s="75" t="s">
        <v>316</v>
      </c>
    </row>
    <row r="19" spans="2:7" ht="30" customHeight="1" x14ac:dyDescent="0.3">
      <c r="B19" s="12"/>
    </row>
    <row r="20" spans="2:7" ht="57.6" x14ac:dyDescent="0.3">
      <c r="E20" s="80" t="s">
        <v>303</v>
      </c>
      <c r="G20" s="80" t="s">
        <v>308</v>
      </c>
    </row>
    <row r="21" spans="2:7" ht="30" customHeight="1" x14ac:dyDescent="0.3">
      <c r="B21" s="12"/>
    </row>
    <row r="22" spans="2:7" ht="86.4" x14ac:dyDescent="0.3">
      <c r="F22" s="78" t="s">
        <v>317</v>
      </c>
    </row>
    <row r="23" spans="2:7" ht="30" customHeight="1" x14ac:dyDescent="0.3">
      <c r="B23" s="12"/>
    </row>
    <row r="24" spans="2:7" ht="72" x14ac:dyDescent="0.3">
      <c r="F24" s="78" t="s">
        <v>310</v>
      </c>
    </row>
    <row r="25" spans="2:7" ht="30" customHeight="1" x14ac:dyDescent="0.3">
      <c r="B25" s="12"/>
    </row>
    <row r="26" spans="2:7" ht="100.8" x14ac:dyDescent="0.3">
      <c r="F26" s="78" t="s">
        <v>311</v>
      </c>
    </row>
    <row r="27" spans="2:7" ht="30" customHeight="1" x14ac:dyDescent="0.3">
      <c r="B27" s="12"/>
    </row>
    <row r="28" spans="2:7" ht="115.2" x14ac:dyDescent="0.3">
      <c r="F28" s="78" t="s">
        <v>312</v>
      </c>
    </row>
    <row r="29" spans="2:7" ht="30" customHeight="1" thickBot="1" x14ac:dyDescent="0.35">
      <c r="B29" s="12"/>
    </row>
    <row r="30" spans="2:7" ht="73.2" thickTop="1" thickBot="1" x14ac:dyDescent="0.35">
      <c r="C30" s="73" t="s">
        <v>300</v>
      </c>
      <c r="D30" s="74"/>
      <c r="E30" s="82" t="s">
        <v>318</v>
      </c>
      <c r="F30" s="74"/>
      <c r="G30" s="82" t="s">
        <v>318</v>
      </c>
    </row>
    <row r="31" spans="2:7" ht="15" thickTop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AD72-7148-441A-80C3-B0BAEAF7ECAF}">
  <dimension ref="A2:K136"/>
  <sheetViews>
    <sheetView workbookViewId="0">
      <selection activeCell="I1" sqref="I1"/>
    </sheetView>
  </sheetViews>
  <sheetFormatPr defaultRowHeight="14.4" x14ac:dyDescent="0.3"/>
  <cols>
    <col min="9" max="9" width="11.88671875" bestFit="1" customWidth="1"/>
  </cols>
  <sheetData>
    <row r="2" spans="1:5" x14ac:dyDescent="0.3">
      <c r="B2" s="12" t="s">
        <v>121</v>
      </c>
    </row>
    <row r="4" spans="1:5" x14ac:dyDescent="0.3">
      <c r="B4" t="s">
        <v>139</v>
      </c>
      <c r="D4" t="s">
        <v>140</v>
      </c>
      <c r="E4" s="12" t="s">
        <v>121</v>
      </c>
    </row>
    <row r="5" spans="1:5" x14ac:dyDescent="0.3">
      <c r="B5" t="s">
        <v>293</v>
      </c>
    </row>
    <row r="6" spans="1:5" x14ac:dyDescent="0.3">
      <c r="B6" t="s">
        <v>142</v>
      </c>
    </row>
    <row r="8" spans="1:5" x14ac:dyDescent="0.3">
      <c r="A8" s="2" t="s">
        <v>143</v>
      </c>
      <c r="B8" t="s">
        <v>141</v>
      </c>
    </row>
    <row r="40" spans="1:2" x14ac:dyDescent="0.3">
      <c r="B40" t="s">
        <v>144</v>
      </c>
    </row>
    <row r="41" spans="1:2" x14ac:dyDescent="0.3">
      <c r="B41" t="s">
        <v>145</v>
      </c>
    </row>
    <row r="42" spans="1:2" x14ac:dyDescent="0.3">
      <c r="B42" t="s">
        <v>146</v>
      </c>
    </row>
    <row r="44" spans="1:2" x14ac:dyDescent="0.3">
      <c r="A44" s="2" t="s">
        <v>147</v>
      </c>
    </row>
    <row r="73" spans="1:2" x14ac:dyDescent="0.3">
      <c r="B73" t="s">
        <v>148</v>
      </c>
    </row>
    <row r="74" spans="1:2" x14ac:dyDescent="0.3">
      <c r="B74" t="s">
        <v>146</v>
      </c>
    </row>
    <row r="76" spans="1:2" x14ac:dyDescent="0.3">
      <c r="A76" s="2" t="s">
        <v>149</v>
      </c>
    </row>
    <row r="106" spans="2:2" x14ac:dyDescent="0.3">
      <c r="B106" t="s">
        <v>150</v>
      </c>
    </row>
    <row r="108" spans="2:2" x14ac:dyDescent="0.3">
      <c r="B108" t="s">
        <v>291</v>
      </c>
    </row>
    <row r="109" spans="2:2" x14ac:dyDescent="0.3">
      <c r="B109" t="s">
        <v>151</v>
      </c>
    </row>
    <row r="110" spans="2:2" x14ac:dyDescent="0.3">
      <c r="B110" t="s">
        <v>153</v>
      </c>
    </row>
    <row r="111" spans="2:2" x14ac:dyDescent="0.3">
      <c r="B111" t="s">
        <v>292</v>
      </c>
    </row>
    <row r="114" spans="2:11" x14ac:dyDescent="0.3">
      <c r="B114" s="28" t="s">
        <v>154</v>
      </c>
    </row>
    <row r="115" spans="2:11" ht="27.6" x14ac:dyDescent="0.3">
      <c r="B115" s="27"/>
      <c r="C115" s="27"/>
      <c r="D115" s="27" t="s">
        <v>134</v>
      </c>
      <c r="E115" s="27" t="s">
        <v>135</v>
      </c>
      <c r="F115" s="27" t="s">
        <v>132</v>
      </c>
      <c r="G115" s="27" t="s">
        <v>133</v>
      </c>
      <c r="H115" s="27"/>
      <c r="I115" s="27" t="s">
        <v>138</v>
      </c>
      <c r="J115" s="27" t="s">
        <v>137</v>
      </c>
      <c r="K115" s="27" t="s">
        <v>136</v>
      </c>
    </row>
    <row r="116" spans="2:11" x14ac:dyDescent="0.3">
      <c r="B116" t="s">
        <v>122</v>
      </c>
      <c r="D116">
        <v>50</v>
      </c>
      <c r="E116" s="26">
        <v>15</v>
      </c>
      <c r="F116">
        <v>50</v>
      </c>
      <c r="G116">
        <v>500</v>
      </c>
      <c r="I116" t="s">
        <v>9</v>
      </c>
      <c r="J116">
        <v>15</v>
      </c>
      <c r="K116">
        <f>J116*5</f>
        <v>75</v>
      </c>
    </row>
    <row r="117" spans="2:11" x14ac:dyDescent="0.3">
      <c r="B117" t="s">
        <v>123</v>
      </c>
      <c r="D117">
        <v>12</v>
      </c>
      <c r="E117" s="26">
        <v>6</v>
      </c>
      <c r="F117">
        <v>6</v>
      </c>
      <c r="G117">
        <v>600</v>
      </c>
      <c r="I117" t="s">
        <v>9</v>
      </c>
      <c r="J117">
        <v>5</v>
      </c>
      <c r="K117">
        <f>J117*5</f>
        <v>25</v>
      </c>
    </row>
    <row r="119" spans="2:11" x14ac:dyDescent="0.3">
      <c r="B119" t="s">
        <v>152</v>
      </c>
    </row>
    <row r="120" spans="2:11" ht="18" x14ac:dyDescent="0.35">
      <c r="B120" s="72" t="s">
        <v>124</v>
      </c>
      <c r="C120" s="72"/>
      <c r="D120" s="72"/>
      <c r="E120" s="72"/>
      <c r="F120" s="72"/>
      <c r="G120" s="72"/>
      <c r="H120" s="72"/>
    </row>
    <row r="121" spans="2:11" ht="15" thickBot="1" x14ac:dyDescent="0.35"/>
    <row r="122" spans="2:11" ht="36.6" thickTop="1" x14ac:dyDescent="0.3">
      <c r="B122" s="13" t="s">
        <v>125</v>
      </c>
      <c r="C122" s="14" t="s">
        <v>126</v>
      </c>
      <c r="D122" s="15" t="s">
        <v>127</v>
      </c>
      <c r="E122" s="14" t="s">
        <v>128</v>
      </c>
      <c r="F122" s="15" t="s">
        <v>129</v>
      </c>
      <c r="G122" s="15" t="s">
        <v>130</v>
      </c>
      <c r="H122" s="16" t="s">
        <v>131</v>
      </c>
    </row>
    <row r="123" spans="2:11" x14ac:dyDescent="0.3">
      <c r="B123" s="17">
        <v>46023</v>
      </c>
      <c r="C123" s="18">
        <v>20</v>
      </c>
      <c r="D123" s="19">
        <v>200</v>
      </c>
      <c r="E123" s="18">
        <v>0</v>
      </c>
      <c r="F123" s="19">
        <v>0</v>
      </c>
      <c r="G123" s="19">
        <v>0</v>
      </c>
      <c r="H123" s="20">
        <f>D123+F123+G123</f>
        <v>200</v>
      </c>
    </row>
    <row r="124" spans="2:11" x14ac:dyDescent="0.3">
      <c r="B124" s="17">
        <v>46054</v>
      </c>
      <c r="C124" s="18">
        <v>10</v>
      </c>
      <c r="D124" s="19">
        <v>100</v>
      </c>
      <c r="E124" s="18">
        <v>3</v>
      </c>
      <c r="F124" s="19">
        <v>300</v>
      </c>
      <c r="G124" s="19">
        <v>0</v>
      </c>
      <c r="H124" s="20">
        <f t="shared" ref="H124:H126" si="0">D124+F124+G124</f>
        <v>400</v>
      </c>
    </row>
    <row r="125" spans="2:11" x14ac:dyDescent="0.3">
      <c r="B125" s="17">
        <v>46082</v>
      </c>
      <c r="C125" s="18">
        <v>0</v>
      </c>
      <c r="D125" s="19">
        <v>0</v>
      </c>
      <c r="E125" s="18">
        <v>5</v>
      </c>
      <c r="F125" s="19">
        <v>500</v>
      </c>
      <c r="G125" s="19">
        <v>0</v>
      </c>
      <c r="H125" s="20">
        <f t="shared" si="0"/>
        <v>500</v>
      </c>
    </row>
    <row r="126" spans="2:11" x14ac:dyDescent="0.3">
      <c r="B126" s="17">
        <v>46113</v>
      </c>
      <c r="C126" s="18">
        <v>0</v>
      </c>
      <c r="D126" s="19">
        <v>0</v>
      </c>
      <c r="E126" s="18">
        <v>10</v>
      </c>
      <c r="F126" s="19">
        <v>1000</v>
      </c>
      <c r="G126" s="19">
        <v>1000</v>
      </c>
      <c r="H126" s="20">
        <f t="shared" si="0"/>
        <v>2000</v>
      </c>
    </row>
    <row r="127" spans="2:11" x14ac:dyDescent="0.3">
      <c r="B127" s="17">
        <v>46143</v>
      </c>
      <c r="C127" s="18"/>
      <c r="D127" s="19"/>
      <c r="E127" s="18"/>
      <c r="F127" s="19"/>
      <c r="G127" s="19"/>
      <c r="H127" s="20"/>
    </row>
    <row r="128" spans="2:11" x14ac:dyDescent="0.3">
      <c r="B128" s="17">
        <v>46174</v>
      </c>
      <c r="C128" s="18"/>
      <c r="D128" s="19"/>
      <c r="E128" s="18"/>
      <c r="F128" s="19"/>
      <c r="G128" s="19"/>
      <c r="H128" s="20"/>
    </row>
    <row r="129" spans="2:8" x14ac:dyDescent="0.3">
      <c r="B129" s="17">
        <v>46204</v>
      </c>
      <c r="C129" s="18"/>
      <c r="D129" s="19"/>
      <c r="E129" s="18"/>
      <c r="F129" s="19"/>
      <c r="G129" s="19"/>
      <c r="H129" s="20"/>
    </row>
    <row r="130" spans="2:8" x14ac:dyDescent="0.3">
      <c r="B130" s="17">
        <v>46235</v>
      </c>
      <c r="C130" s="18"/>
      <c r="D130" s="19"/>
      <c r="E130" s="18"/>
      <c r="F130" s="19"/>
      <c r="G130" s="19"/>
      <c r="H130" s="20"/>
    </row>
    <row r="131" spans="2:8" x14ac:dyDescent="0.3">
      <c r="B131" s="17">
        <v>46266</v>
      </c>
      <c r="C131" s="18"/>
      <c r="D131" s="19"/>
      <c r="E131" s="18"/>
      <c r="F131" s="19"/>
      <c r="G131" s="19"/>
      <c r="H131" s="20"/>
    </row>
    <row r="132" spans="2:8" x14ac:dyDescent="0.3">
      <c r="B132" s="17">
        <v>46296</v>
      </c>
      <c r="C132" s="18"/>
      <c r="D132" s="19"/>
      <c r="E132" s="18"/>
      <c r="F132" s="19"/>
      <c r="G132" s="19"/>
      <c r="H132" s="20"/>
    </row>
    <row r="133" spans="2:8" x14ac:dyDescent="0.3">
      <c r="B133" s="17">
        <v>46327</v>
      </c>
      <c r="C133" s="18"/>
      <c r="D133" s="19"/>
      <c r="E133" s="18"/>
      <c r="F133" s="19"/>
      <c r="G133" s="19"/>
      <c r="H133" s="20"/>
    </row>
    <row r="134" spans="2:8" ht="15" thickBot="1" x14ac:dyDescent="0.35">
      <c r="B134" s="21">
        <v>46357</v>
      </c>
      <c r="C134" s="22"/>
      <c r="D134" s="23"/>
      <c r="E134" s="22"/>
      <c r="F134" s="23"/>
      <c r="G134" s="23"/>
      <c r="H134" s="24"/>
    </row>
    <row r="135" spans="2:8" ht="15.6" thickTop="1" thickBot="1" x14ac:dyDescent="0.35">
      <c r="B135" s="3"/>
      <c r="C135" s="3"/>
      <c r="D135" s="3"/>
      <c r="E135" s="3"/>
      <c r="F135" s="3"/>
      <c r="G135" s="3"/>
      <c r="H135" s="25">
        <f>SUM(H123:H134)</f>
        <v>3100</v>
      </c>
    </row>
    <row r="136" spans="2:8" ht="15" thickTop="1" x14ac:dyDescent="0.3"/>
  </sheetData>
  <mergeCells count="1">
    <mergeCell ref="B120:H120"/>
  </mergeCells>
  <hyperlinks>
    <hyperlink ref="B2" r:id="rId1" xr:uid="{9ECAF53D-7C02-4332-832D-4033EDE96B25}"/>
    <hyperlink ref="E4" r:id="rId2" xr:uid="{BEA0EFB5-8C3F-49D7-A50B-435771F9D6F6}"/>
  </hyperlinks>
  <pageMargins left="0.7" right="0.7" top="0.75" bottom="0.75" header="0.3" footer="0.3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56F9-3E08-4C51-ABE9-250FE4029B34}">
  <dimension ref="A2:P36"/>
  <sheetViews>
    <sheetView workbookViewId="0">
      <selection activeCell="G15" sqref="G15"/>
    </sheetView>
  </sheetViews>
  <sheetFormatPr defaultRowHeight="14.4" x14ac:dyDescent="0.3"/>
  <cols>
    <col min="1" max="1" width="15" bestFit="1" customWidth="1"/>
    <col min="3" max="3" width="10.5546875" bestFit="1" customWidth="1"/>
    <col min="4" max="4" width="9" bestFit="1" customWidth="1"/>
    <col min="5" max="5" width="12.6640625" customWidth="1"/>
    <col min="6" max="6" width="12.5546875" customWidth="1"/>
    <col min="7" max="7" width="12.33203125" customWidth="1"/>
    <col min="8" max="8" width="12.88671875" bestFit="1" customWidth="1"/>
    <col min="9" max="9" width="11.88671875" bestFit="1" customWidth="1"/>
  </cols>
  <sheetData>
    <row r="2" spans="1:16" x14ac:dyDescent="0.3">
      <c r="B2" t="s">
        <v>155</v>
      </c>
    </row>
    <row r="4" spans="1:16" s="27" customFormat="1" ht="41.4" x14ac:dyDescent="0.3">
      <c r="A4" s="27" t="s">
        <v>166</v>
      </c>
      <c r="B4" s="27" t="s">
        <v>156</v>
      </c>
      <c r="C4" s="27" t="s">
        <v>157</v>
      </c>
      <c r="D4" s="27" t="s">
        <v>158</v>
      </c>
      <c r="E4" s="27" t="s">
        <v>161</v>
      </c>
      <c r="F4" s="27" t="s">
        <v>159</v>
      </c>
      <c r="G4" s="27" t="s">
        <v>135</v>
      </c>
      <c r="H4" s="27" t="s">
        <v>163</v>
      </c>
      <c r="I4" s="27" t="s">
        <v>169</v>
      </c>
      <c r="J4" s="27" t="s">
        <v>170</v>
      </c>
      <c r="K4" s="27" t="s">
        <v>171</v>
      </c>
      <c r="L4" s="27" t="s">
        <v>172</v>
      </c>
      <c r="M4" s="27" t="s">
        <v>173</v>
      </c>
      <c r="N4" s="27" t="s">
        <v>174</v>
      </c>
      <c r="O4" s="27" t="s">
        <v>175</v>
      </c>
      <c r="P4" s="27" t="s">
        <v>133</v>
      </c>
    </row>
    <row r="6" spans="1:16" x14ac:dyDescent="0.3">
      <c r="A6" s="30">
        <v>46128</v>
      </c>
      <c r="B6" t="s">
        <v>19</v>
      </c>
      <c r="C6" t="s">
        <v>160</v>
      </c>
      <c r="D6" s="3">
        <v>10</v>
      </c>
      <c r="E6" s="29">
        <v>10</v>
      </c>
      <c r="F6" s="3"/>
      <c r="G6" s="3"/>
      <c r="H6" s="3">
        <f>E6*10</f>
        <v>100</v>
      </c>
      <c r="I6" s="3"/>
      <c r="J6">
        <f>H6+I6</f>
        <v>100</v>
      </c>
      <c r="L6" s="3"/>
      <c r="M6" s="3"/>
      <c r="N6" s="3"/>
      <c r="P6" s="83" t="s">
        <v>176</v>
      </c>
    </row>
    <row r="7" spans="1:16" x14ac:dyDescent="0.3">
      <c r="A7" s="30">
        <v>46129</v>
      </c>
      <c r="B7" t="s">
        <v>162</v>
      </c>
      <c r="C7" t="s">
        <v>160</v>
      </c>
      <c r="D7" s="3"/>
      <c r="E7" s="29"/>
      <c r="F7" s="3">
        <v>5</v>
      </c>
      <c r="G7" s="29">
        <v>3</v>
      </c>
      <c r="H7" s="3">
        <f>G7*100</f>
        <v>300</v>
      </c>
      <c r="I7" s="3"/>
      <c r="J7">
        <f t="shared" ref="J7:J12" si="0">H7+I7</f>
        <v>300</v>
      </c>
      <c r="L7" s="3"/>
      <c r="M7" s="3"/>
      <c r="N7" s="3"/>
      <c r="P7" s="83" t="s">
        <v>176</v>
      </c>
    </row>
    <row r="8" spans="1:16" x14ac:dyDescent="0.3">
      <c r="A8" s="30">
        <v>46130</v>
      </c>
      <c r="B8" t="s">
        <v>164</v>
      </c>
      <c r="C8" t="s">
        <v>165</v>
      </c>
      <c r="D8" s="3">
        <v>10</v>
      </c>
      <c r="E8" s="29"/>
      <c r="F8" s="3">
        <v>5</v>
      </c>
      <c r="G8" s="29">
        <v>4</v>
      </c>
      <c r="H8" s="3">
        <f>G8*100</f>
        <v>400</v>
      </c>
      <c r="I8" s="3"/>
      <c r="J8">
        <f t="shared" si="0"/>
        <v>400</v>
      </c>
      <c r="L8" s="3"/>
      <c r="M8" s="3"/>
      <c r="N8" s="3"/>
      <c r="P8" s="83" t="s">
        <v>176</v>
      </c>
    </row>
    <row r="9" spans="1:16" x14ac:dyDescent="0.3">
      <c r="A9" s="30">
        <v>46131</v>
      </c>
      <c r="B9" t="s">
        <v>164</v>
      </c>
      <c r="C9" t="s">
        <v>165</v>
      </c>
      <c r="D9" s="3">
        <v>10</v>
      </c>
      <c r="E9" s="29"/>
      <c r="F9" s="3">
        <v>4</v>
      </c>
      <c r="G9" s="29">
        <v>3</v>
      </c>
      <c r="H9" s="3">
        <f>G9*100</f>
        <v>300</v>
      </c>
      <c r="I9" s="3"/>
      <c r="J9">
        <f t="shared" si="0"/>
        <v>300</v>
      </c>
      <c r="L9" s="3"/>
      <c r="M9" s="3"/>
      <c r="N9" s="3"/>
      <c r="P9" s="83" t="s">
        <v>176</v>
      </c>
    </row>
    <row r="10" spans="1:16" x14ac:dyDescent="0.3">
      <c r="A10" s="30">
        <v>46132</v>
      </c>
      <c r="B10" t="s">
        <v>167</v>
      </c>
      <c r="C10" t="s">
        <v>168</v>
      </c>
      <c r="D10" s="3">
        <v>10</v>
      </c>
      <c r="E10" s="29">
        <v>10</v>
      </c>
      <c r="F10" s="3"/>
      <c r="G10" s="29"/>
      <c r="H10" s="3">
        <f>E10*10</f>
        <v>100</v>
      </c>
      <c r="I10" s="3"/>
      <c r="J10">
        <f t="shared" si="0"/>
        <v>100</v>
      </c>
      <c r="L10" s="3"/>
      <c r="M10" s="3"/>
      <c r="N10" s="3"/>
      <c r="P10" s="83" t="s">
        <v>176</v>
      </c>
    </row>
    <row r="11" spans="1:16" x14ac:dyDescent="0.3">
      <c r="A11" s="30">
        <v>46133</v>
      </c>
      <c r="B11" t="s">
        <v>167</v>
      </c>
      <c r="C11" t="s">
        <v>168</v>
      </c>
      <c r="D11" s="3">
        <v>10</v>
      </c>
      <c r="E11" s="29">
        <v>10</v>
      </c>
      <c r="G11" s="29"/>
      <c r="H11" s="3">
        <f>E11*10</f>
        <v>100</v>
      </c>
      <c r="I11" s="3"/>
      <c r="J11">
        <f t="shared" si="0"/>
        <v>100</v>
      </c>
      <c r="L11" s="3"/>
      <c r="M11" s="3"/>
      <c r="N11" s="3"/>
      <c r="P11" s="84" t="s">
        <v>319</v>
      </c>
    </row>
    <row r="12" spans="1:16" x14ac:dyDescent="0.3">
      <c r="A12" s="30">
        <v>46134</v>
      </c>
      <c r="B12" t="s">
        <v>167</v>
      </c>
      <c r="C12" t="s">
        <v>168</v>
      </c>
      <c r="D12" s="3"/>
      <c r="E12" s="29"/>
      <c r="F12" s="3">
        <v>10</v>
      </c>
      <c r="G12" s="29">
        <v>10</v>
      </c>
      <c r="H12" s="3">
        <f>G12*100</f>
        <v>1000</v>
      </c>
      <c r="I12" s="3">
        <v>1000</v>
      </c>
      <c r="J12">
        <f t="shared" si="0"/>
        <v>2000</v>
      </c>
      <c r="L12" s="3"/>
      <c r="M12" s="3"/>
      <c r="N12" s="3"/>
      <c r="P12" s="83" t="s">
        <v>176</v>
      </c>
    </row>
    <row r="13" spans="1:16" x14ac:dyDescent="0.3"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6" x14ac:dyDescent="0.3"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6" x14ac:dyDescent="0.3"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6" x14ac:dyDescent="0.3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4:13" x14ac:dyDescent="0.3"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4:13" x14ac:dyDescent="0.3"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4:13" x14ac:dyDescent="0.3"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4:13" x14ac:dyDescent="0.3"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4:13" x14ac:dyDescent="0.3"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4:13" x14ac:dyDescent="0.3"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4:13" x14ac:dyDescent="0.3"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4:13" x14ac:dyDescent="0.3"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4:13" x14ac:dyDescent="0.3"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4:13" x14ac:dyDescent="0.3"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4:13" x14ac:dyDescent="0.3"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4:13" x14ac:dyDescent="0.3"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4:13" x14ac:dyDescent="0.3"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4:13" x14ac:dyDescent="0.3"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4:13" x14ac:dyDescent="0.3"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4:13" x14ac:dyDescent="0.3"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4:13" x14ac:dyDescent="0.3"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4:13" x14ac:dyDescent="0.3"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4:13" x14ac:dyDescent="0.3"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4:13" x14ac:dyDescent="0.3">
      <c r="D36" s="3"/>
      <c r="E36" s="3"/>
      <c r="F36" s="3"/>
      <c r="G36" s="3"/>
      <c r="H36" s="3"/>
      <c r="I36" s="3"/>
      <c r="J36" s="3"/>
      <c r="K36" s="3"/>
      <c r="L36" s="3"/>
      <c r="M3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4E7F-46A1-45F5-8E44-BD367CDC0BCC}">
  <dimension ref="B3:H20"/>
  <sheetViews>
    <sheetView workbookViewId="0">
      <selection activeCell="F19" sqref="F19"/>
    </sheetView>
  </sheetViews>
  <sheetFormatPr defaultRowHeight="14.4" x14ac:dyDescent="0.3"/>
  <cols>
    <col min="1" max="1" width="20.6640625" customWidth="1"/>
    <col min="2" max="2" width="3.44140625" customWidth="1"/>
    <col min="3" max="3" width="18.6640625" bestFit="1" customWidth="1"/>
    <col min="5" max="5" width="15.6640625" bestFit="1" customWidth="1"/>
    <col min="7" max="7" width="13.5546875" bestFit="1" customWidth="1"/>
  </cols>
  <sheetData>
    <row r="3" spans="3:8" x14ac:dyDescent="0.3">
      <c r="C3" s="2" t="s">
        <v>18</v>
      </c>
    </row>
    <row r="4" spans="3:8" x14ac:dyDescent="0.3">
      <c r="C4" t="s">
        <v>19</v>
      </c>
    </row>
    <row r="5" spans="3:8" x14ac:dyDescent="0.3">
      <c r="C5" t="s">
        <v>20</v>
      </c>
    </row>
    <row r="6" spans="3:8" x14ac:dyDescent="0.3">
      <c r="C6" t="s">
        <v>29</v>
      </c>
    </row>
    <row r="7" spans="3:8" x14ac:dyDescent="0.3">
      <c r="C7" t="s">
        <v>40</v>
      </c>
    </row>
    <row r="9" spans="3:8" x14ac:dyDescent="0.3">
      <c r="C9" s="2" t="s">
        <v>21</v>
      </c>
    </row>
    <row r="10" spans="3:8" x14ac:dyDescent="0.3">
      <c r="C10" t="s">
        <v>1</v>
      </c>
    </row>
    <row r="11" spans="3:8" x14ac:dyDescent="0.3">
      <c r="C11" t="s">
        <v>2</v>
      </c>
    </row>
    <row r="12" spans="3:8" x14ac:dyDescent="0.3">
      <c r="C12" t="s">
        <v>26</v>
      </c>
    </row>
    <row r="13" spans="3:8" x14ac:dyDescent="0.3">
      <c r="C13" t="s">
        <v>22</v>
      </c>
      <c r="H13" t="s">
        <v>23</v>
      </c>
    </row>
    <row r="14" spans="3:8" x14ac:dyDescent="0.3">
      <c r="C14" t="s">
        <v>3</v>
      </c>
    </row>
    <row r="15" spans="3:8" x14ac:dyDescent="0.3">
      <c r="C15" s="10" t="s">
        <v>4</v>
      </c>
    </row>
    <row r="17" spans="2:6" ht="15" thickBot="1" x14ac:dyDescent="0.35">
      <c r="C17" t="s">
        <v>24</v>
      </c>
      <c r="F17" t="s">
        <v>294</v>
      </c>
    </row>
    <row r="18" spans="2:6" ht="15" thickBot="1" x14ac:dyDescent="0.35">
      <c r="B18" s="1"/>
      <c r="C18" t="s">
        <v>25</v>
      </c>
      <c r="F18" t="s">
        <v>295</v>
      </c>
    </row>
    <row r="19" spans="2:6" ht="15" thickBot="1" x14ac:dyDescent="0.35">
      <c r="B19" s="1"/>
      <c r="C19" t="s">
        <v>30</v>
      </c>
    </row>
    <row r="20" spans="2:6" ht="15" thickBot="1" x14ac:dyDescent="0.35">
      <c r="B20" s="1"/>
      <c r="C20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F039-A46E-4D1C-8171-612B14FE19AA}">
  <dimension ref="B2:F25"/>
  <sheetViews>
    <sheetView workbookViewId="0">
      <selection activeCell="I4" sqref="I4"/>
    </sheetView>
  </sheetViews>
  <sheetFormatPr defaultRowHeight="14.4" x14ac:dyDescent="0.3"/>
  <cols>
    <col min="1" max="1" width="15.44140625" customWidth="1"/>
    <col min="2" max="2" width="2.6640625" customWidth="1"/>
    <col min="3" max="3" width="17.33203125" bestFit="1" customWidth="1"/>
    <col min="6" max="6" width="13.88671875" customWidth="1"/>
  </cols>
  <sheetData>
    <row r="2" spans="3:5" x14ac:dyDescent="0.3">
      <c r="C2" s="2" t="s">
        <v>0</v>
      </c>
    </row>
    <row r="3" spans="3:5" x14ac:dyDescent="0.3">
      <c r="C3" t="s">
        <v>1</v>
      </c>
    </row>
    <row r="4" spans="3:5" x14ac:dyDescent="0.3">
      <c r="C4" t="s">
        <v>2</v>
      </c>
      <c r="D4" t="s">
        <v>27</v>
      </c>
    </row>
    <row r="5" spans="3:5" x14ac:dyDescent="0.3">
      <c r="C5" t="s">
        <v>26</v>
      </c>
      <c r="D5" t="s">
        <v>26</v>
      </c>
    </row>
    <row r="6" spans="3:5" x14ac:dyDescent="0.3">
      <c r="C6" t="s">
        <v>3</v>
      </c>
    </row>
    <row r="7" spans="3:5" x14ac:dyDescent="0.3">
      <c r="C7" s="10" t="s">
        <v>4</v>
      </c>
    </row>
    <row r="9" spans="3:5" x14ac:dyDescent="0.3">
      <c r="C9" s="5" t="s">
        <v>32</v>
      </c>
      <c r="E9" t="s">
        <v>33</v>
      </c>
    </row>
    <row r="12" spans="3:5" x14ac:dyDescent="0.3">
      <c r="C12" s="2" t="s">
        <v>5</v>
      </c>
    </row>
    <row r="14" spans="3:5" ht="15" thickBot="1" x14ac:dyDescent="0.35">
      <c r="C14" s="2" t="s">
        <v>34</v>
      </c>
    </row>
    <row r="15" spans="3:5" ht="15" thickBot="1" x14ac:dyDescent="0.35">
      <c r="C15" s="6"/>
      <c r="D15" s="7"/>
    </row>
    <row r="18" spans="2:6" ht="15" thickBot="1" x14ac:dyDescent="0.35">
      <c r="C18" s="2" t="s">
        <v>5</v>
      </c>
    </row>
    <row r="19" spans="2:6" ht="15" thickBot="1" x14ac:dyDescent="0.35">
      <c r="B19" s="1"/>
      <c r="C19" t="s">
        <v>6</v>
      </c>
    </row>
    <row r="20" spans="2:6" ht="15" thickBot="1" x14ac:dyDescent="0.35">
      <c r="B20" s="1"/>
      <c r="C20" t="s">
        <v>7</v>
      </c>
    </row>
    <row r="22" spans="2:6" ht="15" thickBot="1" x14ac:dyDescent="0.35">
      <c r="C22" s="2" t="s">
        <v>8</v>
      </c>
    </row>
    <row r="23" spans="2:6" ht="15" thickBot="1" x14ac:dyDescent="0.35">
      <c r="B23" s="1"/>
      <c r="C23" t="s">
        <v>9</v>
      </c>
      <c r="E23" t="s">
        <v>39</v>
      </c>
      <c r="F23" s="3" t="s">
        <v>42</v>
      </c>
    </row>
    <row r="24" spans="2:6" ht="15" thickBot="1" x14ac:dyDescent="0.35">
      <c r="B24" s="1"/>
      <c r="C24" t="s">
        <v>10</v>
      </c>
      <c r="E24" t="s">
        <v>39</v>
      </c>
    </row>
    <row r="25" spans="2:6" ht="15" thickBot="1" x14ac:dyDescent="0.35">
      <c r="B25" s="1"/>
      <c r="C25" t="s">
        <v>11</v>
      </c>
      <c r="E25" t="s">
        <v>39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8F84-02BE-44F9-A200-6AB03607D798}">
  <dimension ref="B3:F48"/>
  <sheetViews>
    <sheetView topLeftCell="A26" workbookViewId="0">
      <selection activeCell="K52" sqref="K52"/>
    </sheetView>
  </sheetViews>
  <sheetFormatPr defaultRowHeight="14.4" x14ac:dyDescent="0.3"/>
  <cols>
    <col min="1" max="1" width="15" customWidth="1"/>
    <col min="2" max="2" width="3" customWidth="1"/>
    <col min="4" max="4" width="10.33203125" customWidth="1"/>
  </cols>
  <sheetData>
    <row r="3" spans="2:5" x14ac:dyDescent="0.3">
      <c r="C3" t="s">
        <v>37</v>
      </c>
      <c r="D3" t="s">
        <v>35</v>
      </c>
    </row>
    <row r="4" spans="2:5" x14ac:dyDescent="0.3">
      <c r="D4" t="s">
        <v>36</v>
      </c>
    </row>
    <row r="7" spans="2:5" x14ac:dyDescent="0.3">
      <c r="C7" t="s">
        <v>38</v>
      </c>
    </row>
    <row r="10" spans="2:5" ht="15" thickBot="1" x14ac:dyDescent="0.35">
      <c r="C10" s="2" t="s">
        <v>8</v>
      </c>
    </row>
    <row r="11" spans="2:5" ht="15" thickBot="1" x14ac:dyDescent="0.35">
      <c r="B11" s="1"/>
      <c r="C11" t="s">
        <v>6</v>
      </c>
    </row>
    <row r="12" spans="2:5" ht="15" thickBot="1" x14ac:dyDescent="0.35">
      <c r="B12" s="1"/>
      <c r="C12" t="s">
        <v>7</v>
      </c>
    </row>
    <row r="14" spans="2:5" x14ac:dyDescent="0.3">
      <c r="C14" s="2" t="s">
        <v>43</v>
      </c>
      <c r="E14" s="2" t="s">
        <v>44</v>
      </c>
    </row>
    <row r="15" spans="2:5" x14ac:dyDescent="0.3">
      <c r="C15" s="8" t="s">
        <v>9</v>
      </c>
      <c r="D15" s="8"/>
      <c r="E15" s="3">
        <v>15</v>
      </c>
    </row>
    <row r="16" spans="2:5" x14ac:dyDescent="0.3">
      <c r="C16" s="8" t="s">
        <v>10</v>
      </c>
      <c r="D16" s="8"/>
      <c r="E16" s="3">
        <v>5</v>
      </c>
    </row>
    <row r="17" spans="3:5" x14ac:dyDescent="0.3">
      <c r="C17" s="8" t="s">
        <v>11</v>
      </c>
      <c r="D17" s="8"/>
      <c r="E17" s="3">
        <v>10</v>
      </c>
    </row>
    <row r="20" spans="3:5" x14ac:dyDescent="0.3">
      <c r="C20" s="2" t="s">
        <v>45</v>
      </c>
    </row>
    <row r="22" spans="3:5" x14ac:dyDescent="0.3">
      <c r="C22" t="s">
        <v>15</v>
      </c>
      <c r="E22">
        <v>259</v>
      </c>
    </row>
    <row r="23" spans="3:5" x14ac:dyDescent="0.3">
      <c r="C23" t="s">
        <v>51</v>
      </c>
      <c r="E23">
        <v>349</v>
      </c>
    </row>
    <row r="25" spans="3:5" x14ac:dyDescent="0.3">
      <c r="C25" t="s">
        <v>46</v>
      </c>
    </row>
    <row r="26" spans="3:5" x14ac:dyDescent="0.3">
      <c r="C26" t="s">
        <v>47</v>
      </c>
    </row>
    <row r="27" spans="3:5" x14ac:dyDescent="0.3">
      <c r="C27" t="s">
        <v>48</v>
      </c>
    </row>
    <row r="28" spans="3:5" x14ac:dyDescent="0.3">
      <c r="C28" t="s">
        <v>53</v>
      </c>
    </row>
    <row r="30" spans="3:5" x14ac:dyDescent="0.3">
      <c r="C30" t="s">
        <v>49</v>
      </c>
    </row>
    <row r="31" spans="3:5" x14ac:dyDescent="0.3">
      <c r="C31" t="s">
        <v>52</v>
      </c>
    </row>
    <row r="32" spans="3:5" x14ac:dyDescent="0.3">
      <c r="C32" t="s">
        <v>50</v>
      </c>
    </row>
    <row r="34" spans="3:6" x14ac:dyDescent="0.3">
      <c r="C34" t="s">
        <v>54</v>
      </c>
    </row>
    <row r="37" spans="3:6" x14ac:dyDescent="0.3">
      <c r="C37" s="2" t="s">
        <v>58</v>
      </c>
      <c r="F37" t="s">
        <v>59</v>
      </c>
    </row>
    <row r="38" spans="3:6" x14ac:dyDescent="0.3">
      <c r="F38" t="s">
        <v>60</v>
      </c>
    </row>
    <row r="39" spans="3:6" x14ac:dyDescent="0.3">
      <c r="F39" t="s">
        <v>61</v>
      </c>
    </row>
    <row r="42" spans="3:6" x14ac:dyDescent="0.3">
      <c r="C42" t="s">
        <v>62</v>
      </c>
    </row>
    <row r="44" spans="3:6" x14ac:dyDescent="0.3">
      <c r="C44" t="s">
        <v>63</v>
      </c>
      <c r="E44" t="s">
        <v>64</v>
      </c>
    </row>
    <row r="46" spans="3:6" x14ac:dyDescent="0.3">
      <c r="C46" t="s">
        <v>65</v>
      </c>
    </row>
    <row r="48" spans="3:6" x14ac:dyDescent="0.3">
      <c r="C48" t="s">
        <v>66</v>
      </c>
      <c r="F48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36C5F-BF23-48EE-B738-56048A05CC0D}">
  <dimension ref="B3:K25"/>
  <sheetViews>
    <sheetView workbookViewId="0">
      <selection activeCell="N15" sqref="N15"/>
    </sheetView>
  </sheetViews>
  <sheetFormatPr defaultRowHeight="14.4" x14ac:dyDescent="0.3"/>
  <cols>
    <col min="4" max="4" width="12" bestFit="1" customWidth="1"/>
    <col min="5" max="5" width="11.88671875" bestFit="1" customWidth="1"/>
    <col min="6" max="6" width="22.5546875" bestFit="1" customWidth="1"/>
    <col min="7" max="7" width="15.5546875" bestFit="1" customWidth="1"/>
  </cols>
  <sheetData>
    <row r="3" spans="2:11" x14ac:dyDescent="0.3">
      <c r="C3" t="s">
        <v>68</v>
      </c>
    </row>
    <row r="4" spans="2:11" ht="15" thickBot="1" x14ac:dyDescent="0.35"/>
    <row r="5" spans="2:11" ht="15" thickBot="1" x14ac:dyDescent="0.35">
      <c r="B5" s="3">
        <v>1</v>
      </c>
      <c r="C5" t="s">
        <v>48</v>
      </c>
      <c r="D5" t="s">
        <v>46</v>
      </c>
      <c r="E5" t="s">
        <v>55</v>
      </c>
      <c r="F5" t="s">
        <v>56</v>
      </c>
      <c r="G5" s="1" t="s">
        <v>57</v>
      </c>
      <c r="H5" t="s">
        <v>69</v>
      </c>
      <c r="I5" s="6" t="s">
        <v>71</v>
      </c>
      <c r="J5" s="7"/>
      <c r="K5" t="s">
        <v>70</v>
      </c>
    </row>
    <row r="6" spans="2:11" ht="15" thickBot="1" x14ac:dyDescent="0.35">
      <c r="B6" s="3">
        <v>2</v>
      </c>
      <c r="C6" t="s">
        <v>48</v>
      </c>
      <c r="D6" t="s">
        <v>46</v>
      </c>
      <c r="E6" t="s">
        <v>55</v>
      </c>
      <c r="F6" t="s">
        <v>56</v>
      </c>
      <c r="G6" s="1" t="s">
        <v>57</v>
      </c>
      <c r="H6" t="s">
        <v>69</v>
      </c>
      <c r="I6" s="6" t="s">
        <v>71</v>
      </c>
      <c r="J6" s="7"/>
    </row>
    <row r="7" spans="2:11" ht="15" thickBot="1" x14ac:dyDescent="0.35">
      <c r="B7" s="3">
        <v>3</v>
      </c>
      <c r="C7" t="s">
        <v>48</v>
      </c>
      <c r="D7" t="s">
        <v>46</v>
      </c>
      <c r="E7" t="s">
        <v>55</v>
      </c>
      <c r="F7" t="s">
        <v>56</v>
      </c>
      <c r="G7" s="1" t="s">
        <v>57</v>
      </c>
      <c r="H7" t="s">
        <v>69</v>
      </c>
      <c r="I7" s="6" t="s">
        <v>71</v>
      </c>
      <c r="J7" s="7"/>
    </row>
    <row r="8" spans="2:11" ht="15" thickBot="1" x14ac:dyDescent="0.35">
      <c r="B8" s="3">
        <v>4</v>
      </c>
      <c r="C8" t="s">
        <v>48</v>
      </c>
      <c r="D8" t="s">
        <v>46</v>
      </c>
      <c r="E8" t="s">
        <v>55</v>
      </c>
      <c r="F8" t="s">
        <v>56</v>
      </c>
      <c r="G8" s="1" t="s">
        <v>57</v>
      </c>
      <c r="H8" t="s">
        <v>69</v>
      </c>
      <c r="I8" s="6" t="s">
        <v>71</v>
      </c>
      <c r="J8" s="7"/>
    </row>
    <row r="9" spans="2:11" ht="15" thickBot="1" x14ac:dyDescent="0.35">
      <c r="B9" s="3">
        <v>5</v>
      </c>
      <c r="C9" t="s">
        <v>48</v>
      </c>
      <c r="D9" t="s">
        <v>46</v>
      </c>
      <c r="E9" t="s">
        <v>55</v>
      </c>
      <c r="F9" t="s">
        <v>56</v>
      </c>
      <c r="G9" s="1" t="s">
        <v>57</v>
      </c>
      <c r="H9" t="s">
        <v>69</v>
      </c>
      <c r="I9" s="6" t="s">
        <v>71</v>
      </c>
      <c r="J9" s="7"/>
    </row>
    <row r="10" spans="2:11" ht="15" thickBot="1" x14ac:dyDescent="0.35">
      <c r="B10" s="3">
        <v>6</v>
      </c>
      <c r="C10" t="s">
        <v>48</v>
      </c>
      <c r="D10" t="s">
        <v>46</v>
      </c>
      <c r="E10" t="s">
        <v>55</v>
      </c>
      <c r="F10" t="s">
        <v>56</v>
      </c>
      <c r="G10" s="1" t="s">
        <v>57</v>
      </c>
      <c r="H10" t="s">
        <v>69</v>
      </c>
      <c r="I10" s="6" t="s">
        <v>71</v>
      </c>
      <c r="J10" s="7"/>
    </row>
    <row r="11" spans="2:11" ht="15" thickBot="1" x14ac:dyDescent="0.35">
      <c r="B11" s="3">
        <v>7</v>
      </c>
      <c r="C11" t="s">
        <v>48</v>
      </c>
      <c r="D11" t="s">
        <v>46</v>
      </c>
      <c r="E11" t="s">
        <v>55</v>
      </c>
      <c r="F11" t="s">
        <v>56</v>
      </c>
      <c r="G11" s="1" t="s">
        <v>57</v>
      </c>
      <c r="H11" t="s">
        <v>69</v>
      </c>
      <c r="I11" s="6" t="s">
        <v>71</v>
      </c>
      <c r="J11" s="7"/>
    </row>
    <row r="12" spans="2:11" ht="15" thickBot="1" x14ac:dyDescent="0.35">
      <c r="B12" s="3">
        <v>8</v>
      </c>
      <c r="C12" t="s">
        <v>48</v>
      </c>
      <c r="D12" t="s">
        <v>46</v>
      </c>
      <c r="E12" t="s">
        <v>55</v>
      </c>
      <c r="F12" t="s">
        <v>56</v>
      </c>
      <c r="G12" s="1" t="s">
        <v>57</v>
      </c>
      <c r="H12" t="s">
        <v>69</v>
      </c>
      <c r="I12" s="6" t="s">
        <v>71</v>
      </c>
      <c r="J12" s="7"/>
    </row>
    <row r="13" spans="2:11" ht="15" thickBot="1" x14ac:dyDescent="0.35">
      <c r="B13" s="3">
        <v>9</v>
      </c>
      <c r="C13" t="s">
        <v>48</v>
      </c>
      <c r="D13" t="s">
        <v>46</v>
      </c>
      <c r="E13" t="s">
        <v>55</v>
      </c>
      <c r="F13" t="s">
        <v>56</v>
      </c>
      <c r="G13" s="1" t="s">
        <v>57</v>
      </c>
      <c r="H13" t="s">
        <v>69</v>
      </c>
      <c r="I13" s="6" t="s">
        <v>71</v>
      </c>
      <c r="J13" s="7"/>
    </row>
    <row r="14" spans="2:11" ht="15" thickBot="1" x14ac:dyDescent="0.35">
      <c r="B14" s="3">
        <v>10</v>
      </c>
      <c r="C14" t="s">
        <v>48</v>
      </c>
      <c r="D14" t="s">
        <v>46</v>
      </c>
      <c r="E14" t="s">
        <v>55</v>
      </c>
      <c r="F14" t="s">
        <v>56</v>
      </c>
      <c r="G14" s="1" t="s">
        <v>57</v>
      </c>
      <c r="H14" t="s">
        <v>69</v>
      </c>
      <c r="I14" s="6" t="s">
        <v>71</v>
      </c>
      <c r="J14" s="7"/>
    </row>
    <row r="15" spans="2:11" ht="15" thickBot="1" x14ac:dyDescent="0.35">
      <c r="B15" s="3">
        <v>11</v>
      </c>
      <c r="C15" t="s">
        <v>48</v>
      </c>
      <c r="D15" t="s">
        <v>46</v>
      </c>
      <c r="E15" t="s">
        <v>55</v>
      </c>
      <c r="F15" t="s">
        <v>56</v>
      </c>
      <c r="G15" s="1" t="s">
        <v>57</v>
      </c>
      <c r="H15" t="s">
        <v>69</v>
      </c>
      <c r="I15" s="6" t="s">
        <v>71</v>
      </c>
      <c r="J15" s="7"/>
    </row>
    <row r="16" spans="2:11" ht="15" thickBot="1" x14ac:dyDescent="0.35">
      <c r="B16" s="3">
        <v>12</v>
      </c>
      <c r="C16" t="s">
        <v>48</v>
      </c>
      <c r="D16" t="s">
        <v>46</v>
      </c>
      <c r="E16" t="s">
        <v>55</v>
      </c>
      <c r="F16" t="s">
        <v>56</v>
      </c>
      <c r="G16" s="1" t="s">
        <v>57</v>
      </c>
      <c r="H16" t="s">
        <v>69</v>
      </c>
      <c r="I16" s="6" t="s">
        <v>71</v>
      </c>
      <c r="J16" s="7"/>
    </row>
    <row r="17" spans="2:10" ht="15" thickBot="1" x14ac:dyDescent="0.35">
      <c r="B17" s="3">
        <v>13</v>
      </c>
      <c r="C17" t="s">
        <v>48</v>
      </c>
      <c r="D17" t="s">
        <v>46</v>
      </c>
      <c r="E17" t="s">
        <v>55</v>
      </c>
      <c r="F17" t="s">
        <v>56</v>
      </c>
      <c r="G17" s="1" t="s">
        <v>57</v>
      </c>
      <c r="H17" t="s">
        <v>69</v>
      </c>
      <c r="I17" s="6" t="s">
        <v>71</v>
      </c>
      <c r="J17" s="7"/>
    </row>
    <row r="18" spans="2:10" ht="15" thickBot="1" x14ac:dyDescent="0.35">
      <c r="B18" s="3">
        <v>14</v>
      </c>
      <c r="C18" t="s">
        <v>48</v>
      </c>
      <c r="D18" t="s">
        <v>46</v>
      </c>
      <c r="E18" t="s">
        <v>55</v>
      </c>
      <c r="F18" t="s">
        <v>56</v>
      </c>
      <c r="G18" s="1" t="s">
        <v>57</v>
      </c>
      <c r="H18" t="s">
        <v>69</v>
      </c>
      <c r="I18" s="6" t="s">
        <v>71</v>
      </c>
      <c r="J18" s="7"/>
    </row>
    <row r="19" spans="2:10" ht="15" thickBot="1" x14ac:dyDescent="0.35">
      <c r="B19" s="3">
        <v>15</v>
      </c>
      <c r="C19" t="s">
        <v>48</v>
      </c>
      <c r="D19" t="s">
        <v>46</v>
      </c>
      <c r="E19" t="s">
        <v>55</v>
      </c>
      <c r="F19" t="s">
        <v>56</v>
      </c>
      <c r="G19" s="1" t="s">
        <v>57</v>
      </c>
      <c r="H19" t="s">
        <v>69</v>
      </c>
      <c r="I19" s="6" t="s">
        <v>71</v>
      </c>
      <c r="J19" s="7"/>
    </row>
    <row r="20" spans="2:10" ht="15" thickBot="1" x14ac:dyDescent="0.35">
      <c r="B20" s="3">
        <v>16</v>
      </c>
      <c r="C20" t="s">
        <v>48</v>
      </c>
      <c r="D20" t="s">
        <v>46</v>
      </c>
      <c r="E20" t="s">
        <v>55</v>
      </c>
      <c r="F20" t="s">
        <v>56</v>
      </c>
      <c r="G20" s="1" t="s">
        <v>57</v>
      </c>
      <c r="H20" t="s">
        <v>69</v>
      </c>
      <c r="I20" s="6" t="s">
        <v>71</v>
      </c>
      <c r="J20" s="7"/>
    </row>
    <row r="21" spans="2:10" ht="15" thickBot="1" x14ac:dyDescent="0.35">
      <c r="B21" s="3">
        <v>17</v>
      </c>
      <c r="C21" t="s">
        <v>48</v>
      </c>
      <c r="D21" t="s">
        <v>46</v>
      </c>
      <c r="E21" t="s">
        <v>55</v>
      </c>
      <c r="F21" t="s">
        <v>56</v>
      </c>
      <c r="G21" s="1" t="s">
        <v>57</v>
      </c>
      <c r="H21" t="s">
        <v>69</v>
      </c>
      <c r="I21" s="6" t="s">
        <v>71</v>
      </c>
      <c r="J21" s="7"/>
    </row>
    <row r="22" spans="2:10" ht="15" thickBot="1" x14ac:dyDescent="0.35">
      <c r="B22" s="3">
        <v>18</v>
      </c>
      <c r="C22" t="s">
        <v>48</v>
      </c>
      <c r="D22" t="s">
        <v>46</v>
      </c>
      <c r="E22" t="s">
        <v>55</v>
      </c>
      <c r="F22" t="s">
        <v>56</v>
      </c>
      <c r="G22" s="1" t="s">
        <v>57</v>
      </c>
      <c r="H22" t="s">
        <v>69</v>
      </c>
      <c r="I22" s="6" t="s">
        <v>71</v>
      </c>
      <c r="J22" s="7"/>
    </row>
    <row r="23" spans="2:10" ht="15" thickBot="1" x14ac:dyDescent="0.35">
      <c r="B23" s="3">
        <v>19</v>
      </c>
      <c r="C23" t="s">
        <v>48</v>
      </c>
      <c r="D23" t="s">
        <v>46</v>
      </c>
      <c r="E23" t="s">
        <v>55</v>
      </c>
      <c r="F23" t="s">
        <v>56</v>
      </c>
      <c r="G23" s="1" t="s">
        <v>57</v>
      </c>
      <c r="H23" t="s">
        <v>69</v>
      </c>
      <c r="I23" s="6" t="s">
        <v>71</v>
      </c>
      <c r="J23" s="7"/>
    </row>
    <row r="24" spans="2:10" ht="15" thickBot="1" x14ac:dyDescent="0.35">
      <c r="B24" s="3">
        <v>20</v>
      </c>
      <c r="C24" t="s">
        <v>48</v>
      </c>
      <c r="D24" t="s">
        <v>46</v>
      </c>
      <c r="E24" t="s">
        <v>55</v>
      </c>
      <c r="F24" t="s">
        <v>56</v>
      </c>
      <c r="G24" s="1" t="s">
        <v>57</v>
      </c>
      <c r="H24" t="s">
        <v>69</v>
      </c>
      <c r="I24" s="6" t="s">
        <v>71</v>
      </c>
      <c r="J24" s="7"/>
    </row>
    <row r="25" spans="2:10" ht="15" thickBot="1" x14ac:dyDescent="0.35">
      <c r="B25" s="3">
        <v>21</v>
      </c>
      <c r="C25" t="s">
        <v>48</v>
      </c>
      <c r="D25" t="s">
        <v>46</v>
      </c>
      <c r="E25" t="s">
        <v>55</v>
      </c>
      <c r="F25" t="s">
        <v>56</v>
      </c>
      <c r="G25" s="1" t="s">
        <v>57</v>
      </c>
      <c r="H25" t="s">
        <v>69</v>
      </c>
      <c r="I25" s="6" t="s">
        <v>71</v>
      </c>
      <c r="J25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4782-E916-4B53-BBAD-0F4583DAB43F}">
  <dimension ref="B3:N9"/>
  <sheetViews>
    <sheetView topLeftCell="B1" workbookViewId="0">
      <selection activeCell="O14" sqref="O14"/>
    </sheetView>
  </sheetViews>
  <sheetFormatPr defaultRowHeight="14.4" x14ac:dyDescent="0.3"/>
  <cols>
    <col min="4" max="4" width="23.88671875" customWidth="1"/>
  </cols>
  <sheetData>
    <row r="3" spans="2:14" x14ac:dyDescent="0.3">
      <c r="C3" t="s">
        <v>72</v>
      </c>
      <c r="I3" t="s">
        <v>74</v>
      </c>
    </row>
    <row r="5" spans="2:14" x14ac:dyDescent="0.3">
      <c r="B5" t="s">
        <v>73</v>
      </c>
    </row>
    <row r="6" spans="2:14" x14ac:dyDescent="0.3">
      <c r="C6" s="8">
        <v>12</v>
      </c>
      <c r="D6" s="8" t="s">
        <v>15</v>
      </c>
      <c r="E6" s="3">
        <v>259</v>
      </c>
      <c r="F6">
        <f>C6*E6</f>
        <v>3108</v>
      </c>
      <c r="H6" s="9">
        <v>2</v>
      </c>
      <c r="I6" s="9" t="s">
        <v>75</v>
      </c>
      <c r="J6" s="9"/>
      <c r="K6" s="9"/>
      <c r="L6" s="9"/>
      <c r="N6" t="s">
        <v>76</v>
      </c>
    </row>
    <row r="7" spans="2:14" x14ac:dyDescent="0.3">
      <c r="C7" s="8">
        <v>0</v>
      </c>
      <c r="D7" s="8" t="s">
        <v>12</v>
      </c>
      <c r="E7" s="3">
        <v>349</v>
      </c>
      <c r="F7">
        <f t="shared" ref="F7:F9" si="0">C7*E7</f>
        <v>0</v>
      </c>
    </row>
    <row r="8" spans="2:14" x14ac:dyDescent="0.3">
      <c r="C8" s="8">
        <v>1</v>
      </c>
      <c r="D8" s="8" t="s">
        <v>13</v>
      </c>
      <c r="E8" s="3">
        <v>179</v>
      </c>
      <c r="F8">
        <f t="shared" si="0"/>
        <v>179</v>
      </c>
    </row>
    <row r="9" spans="2:14" x14ac:dyDescent="0.3">
      <c r="C9" s="8">
        <v>0</v>
      </c>
      <c r="D9" s="8" t="s">
        <v>14</v>
      </c>
      <c r="E9" s="3">
        <v>299</v>
      </c>
      <c r="F9">
        <f t="shared" si="0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F419-4600-4F4A-BD2E-00FA956EA924}">
  <dimension ref="D4:I13"/>
  <sheetViews>
    <sheetView workbookViewId="0">
      <selection activeCell="D18" sqref="D18"/>
    </sheetView>
  </sheetViews>
  <sheetFormatPr defaultRowHeight="14.4" x14ac:dyDescent="0.3"/>
  <cols>
    <col min="4" max="4" width="33.6640625" customWidth="1"/>
    <col min="5" max="5" width="4" bestFit="1" customWidth="1"/>
    <col min="6" max="6" width="15.6640625" bestFit="1" customWidth="1"/>
    <col min="8" max="8" width="13.5546875" bestFit="1" customWidth="1"/>
  </cols>
  <sheetData>
    <row r="4" spans="4:9" x14ac:dyDescent="0.3">
      <c r="D4" t="s">
        <v>77</v>
      </c>
    </row>
    <row r="7" spans="4:9" x14ac:dyDescent="0.3">
      <c r="D7" s="2" t="s">
        <v>41</v>
      </c>
    </row>
    <row r="8" spans="4:9" ht="15" thickBot="1" x14ac:dyDescent="0.35"/>
    <row r="9" spans="4:9" ht="15" thickBot="1" x14ac:dyDescent="0.35">
      <c r="D9" t="s">
        <v>15</v>
      </c>
      <c r="E9" s="3">
        <v>259</v>
      </c>
      <c r="F9" t="s">
        <v>16</v>
      </c>
      <c r="G9" s="1"/>
      <c r="H9" t="s">
        <v>28</v>
      </c>
      <c r="I9" s="4" t="s">
        <v>17</v>
      </c>
    </row>
    <row r="10" spans="4:9" ht="15" thickBot="1" x14ac:dyDescent="0.35">
      <c r="D10" t="s">
        <v>12</v>
      </c>
      <c r="E10" s="3">
        <v>349</v>
      </c>
      <c r="F10" t="s">
        <v>16</v>
      </c>
      <c r="G10" s="1"/>
      <c r="H10" t="s">
        <v>28</v>
      </c>
      <c r="I10" s="4" t="s">
        <v>17</v>
      </c>
    </row>
    <row r="11" spans="4:9" ht="15" thickBot="1" x14ac:dyDescent="0.35">
      <c r="E11" s="3"/>
    </row>
    <row r="12" spans="4:9" ht="15" thickBot="1" x14ac:dyDescent="0.35">
      <c r="D12" t="s">
        <v>13</v>
      </c>
      <c r="E12" s="3">
        <v>179</v>
      </c>
      <c r="F12" t="s">
        <v>16</v>
      </c>
      <c r="G12" s="1"/>
      <c r="H12" t="s">
        <v>28</v>
      </c>
      <c r="I12" s="4" t="s">
        <v>17</v>
      </c>
    </row>
    <row r="13" spans="4:9" ht="15" thickBot="1" x14ac:dyDescent="0.35">
      <c r="D13" t="s">
        <v>14</v>
      </c>
      <c r="E13" s="3">
        <v>299</v>
      </c>
      <c r="F13" t="s">
        <v>16</v>
      </c>
      <c r="G13" s="1"/>
      <c r="H13" t="s">
        <v>28</v>
      </c>
      <c r="I13" s="4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A216-735F-48D6-AD67-10FE092309CC}">
  <dimension ref="A2:P61"/>
  <sheetViews>
    <sheetView topLeftCell="A38" workbookViewId="0">
      <selection activeCell="A64" sqref="A64"/>
    </sheetView>
  </sheetViews>
  <sheetFormatPr defaultRowHeight="14.4" x14ac:dyDescent="0.3"/>
  <cols>
    <col min="1" max="1" width="20.5546875" customWidth="1"/>
    <col min="2" max="2" width="9.33203125" customWidth="1"/>
    <col min="3" max="3" width="15.88671875" bestFit="1" customWidth="1"/>
    <col min="4" max="4" width="15.88671875" customWidth="1"/>
    <col min="5" max="5" width="9.5546875" bestFit="1" customWidth="1"/>
  </cols>
  <sheetData>
    <row r="2" spans="3:16" x14ac:dyDescent="0.3">
      <c r="E2" t="s">
        <v>178</v>
      </c>
    </row>
    <row r="3" spans="3:16" x14ac:dyDescent="0.3">
      <c r="E3" t="s">
        <v>177</v>
      </c>
    </row>
    <row r="4" spans="3:16" x14ac:dyDescent="0.3">
      <c r="C4" s="2" t="s">
        <v>193</v>
      </c>
      <c r="D4" s="2"/>
      <c r="E4" t="s">
        <v>179</v>
      </c>
      <c r="F4" t="s">
        <v>180</v>
      </c>
      <c r="G4" t="s">
        <v>181</v>
      </c>
      <c r="H4" t="s">
        <v>182</v>
      </c>
      <c r="I4" t="s">
        <v>183</v>
      </c>
      <c r="J4" t="s">
        <v>184</v>
      </c>
      <c r="K4" t="s">
        <v>185</v>
      </c>
      <c r="L4" t="s">
        <v>186</v>
      </c>
      <c r="M4" t="s">
        <v>187</v>
      </c>
      <c r="N4" t="s">
        <v>188</v>
      </c>
      <c r="O4" t="s">
        <v>189</v>
      </c>
      <c r="P4" t="s">
        <v>190</v>
      </c>
    </row>
    <row r="5" spans="3:16" x14ac:dyDescent="0.3">
      <c r="C5" t="s">
        <v>122</v>
      </c>
      <c r="E5" s="33">
        <v>500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3:16" x14ac:dyDescent="0.3">
      <c r="C6" t="s">
        <v>191</v>
      </c>
      <c r="E6" s="33">
        <v>100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3:16" x14ac:dyDescent="0.3">
      <c r="C7" t="s">
        <v>192</v>
      </c>
      <c r="E7" s="33">
        <v>200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3:16" x14ac:dyDescent="0.3">
      <c r="C8" t="s">
        <v>194</v>
      </c>
      <c r="E8" s="33">
        <v>50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3:16" ht="15" thickBot="1" x14ac:dyDescent="0.35">
      <c r="E9" s="35">
        <f>SUM(E5:E8)</f>
        <v>850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3:16" ht="15" thickTop="1" x14ac:dyDescent="0.3">
      <c r="C10" s="2" t="s">
        <v>135</v>
      </c>
      <c r="D10" s="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3:16" x14ac:dyDescent="0.3">
      <c r="C11" t="s">
        <v>122</v>
      </c>
      <c r="E11" s="33">
        <v>250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3:16" x14ac:dyDescent="0.3">
      <c r="C12" t="s">
        <v>191</v>
      </c>
      <c r="E12" s="33">
        <v>75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3:16" x14ac:dyDescent="0.3">
      <c r="C13" t="s">
        <v>192</v>
      </c>
      <c r="E13" s="33">
        <v>125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3:16" x14ac:dyDescent="0.3">
      <c r="C14" t="s">
        <v>194</v>
      </c>
      <c r="E14" s="33">
        <v>20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3:16" ht="15" thickBot="1" x14ac:dyDescent="0.35">
      <c r="E15" s="35">
        <f>SUM(E11:E14)</f>
        <v>470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</row>
    <row r="16" spans="3:16" ht="15" thickTop="1" x14ac:dyDescent="0.3"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</row>
    <row r="17" spans="3:16" x14ac:dyDescent="0.3">
      <c r="C17" s="2" t="s">
        <v>195</v>
      </c>
      <c r="D17" s="2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 spans="3:16" x14ac:dyDescent="0.3">
      <c r="C18" t="s">
        <v>122</v>
      </c>
      <c r="E18" s="33">
        <f>E5*10</f>
        <v>5000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 spans="3:16" x14ac:dyDescent="0.3">
      <c r="C19" t="s">
        <v>191</v>
      </c>
      <c r="E19" s="33">
        <f>E12*100</f>
        <v>7500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</row>
    <row r="20" spans="3:16" x14ac:dyDescent="0.3">
      <c r="C20" t="s">
        <v>192</v>
      </c>
      <c r="E20" s="33">
        <v>0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</row>
    <row r="21" spans="3:16" x14ac:dyDescent="0.3">
      <c r="C21" t="s">
        <v>194</v>
      </c>
      <c r="E21" s="33">
        <v>0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</row>
    <row r="22" spans="3:16" ht="15" thickBot="1" x14ac:dyDescent="0.35">
      <c r="E22" s="35">
        <f>SUM(E18:E21)</f>
        <v>12500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</row>
    <row r="23" spans="3:16" ht="15" thickTop="1" x14ac:dyDescent="0.3"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</row>
    <row r="24" spans="3:16" x14ac:dyDescent="0.3">
      <c r="C24" s="2" t="s">
        <v>196</v>
      </c>
      <c r="D24" s="2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</row>
    <row r="25" spans="3:16" x14ac:dyDescent="0.3">
      <c r="C25" t="s">
        <v>197</v>
      </c>
      <c r="E25" s="33">
        <f>E11*5</f>
        <v>1250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</row>
    <row r="26" spans="3:16" x14ac:dyDescent="0.3">
      <c r="C26" t="s">
        <v>198</v>
      </c>
      <c r="E26" s="33">
        <f>E12*5</f>
        <v>375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</row>
    <row r="27" spans="3:16" x14ac:dyDescent="0.3">
      <c r="C27" t="s">
        <v>199</v>
      </c>
      <c r="E27" s="33">
        <f>E13*10</f>
        <v>1250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3:16" x14ac:dyDescent="0.3">
      <c r="C28" t="s">
        <v>194</v>
      </c>
      <c r="E28" s="33">
        <v>0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</row>
    <row r="29" spans="3:16" x14ac:dyDescent="0.3">
      <c r="E29" s="33">
        <f>SUM(E25:E28)</f>
        <v>2875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</row>
    <row r="30" spans="3:16" x14ac:dyDescent="0.3"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3:16" ht="15" thickBot="1" x14ac:dyDescent="0.35">
      <c r="C31" t="s">
        <v>200</v>
      </c>
      <c r="E31" s="35">
        <f>E22+E29</f>
        <v>15375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3:16" ht="15" thickTop="1" x14ac:dyDescent="0.3">
      <c r="C32" t="s">
        <v>201</v>
      </c>
      <c r="E32" s="33">
        <f>E31/E15</f>
        <v>32.712765957446805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1:16" x14ac:dyDescent="0.3">
      <c r="C33" t="s">
        <v>221</v>
      </c>
      <c r="E33" s="37">
        <f>E31/E41</f>
        <v>0.1310976389634973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5" spans="1:16" s="32" customFormat="1" ht="28.8" x14ac:dyDescent="0.3">
      <c r="B35" s="31" t="s">
        <v>203</v>
      </c>
      <c r="C35" s="31" t="s">
        <v>204</v>
      </c>
      <c r="D35" s="31"/>
      <c r="E35" s="31" t="s">
        <v>202</v>
      </c>
    </row>
    <row r="36" spans="1:16" x14ac:dyDescent="0.3">
      <c r="A36" t="s">
        <v>15</v>
      </c>
      <c r="B36" s="3">
        <v>259</v>
      </c>
      <c r="C36" s="3">
        <v>400</v>
      </c>
      <c r="D36" s="3"/>
      <c r="E36" s="33">
        <f>B36*C36</f>
        <v>103600</v>
      </c>
    </row>
    <row r="37" spans="1:16" x14ac:dyDescent="0.3">
      <c r="A37" t="s">
        <v>12</v>
      </c>
      <c r="B37" s="3">
        <v>349</v>
      </c>
      <c r="C37" s="3">
        <v>5</v>
      </c>
      <c r="D37" s="3"/>
      <c r="E37" s="33">
        <f>B37*C37</f>
        <v>1745</v>
      </c>
    </row>
    <row r="38" spans="1:16" x14ac:dyDescent="0.3">
      <c r="B38" s="3"/>
      <c r="C38" s="3"/>
      <c r="D38" s="3"/>
      <c r="E38" s="33">
        <f>B38*C38</f>
        <v>0</v>
      </c>
    </row>
    <row r="39" spans="1:16" x14ac:dyDescent="0.3">
      <c r="A39" t="s">
        <v>13</v>
      </c>
      <c r="B39" s="3">
        <v>179</v>
      </c>
      <c r="C39" s="3">
        <v>65</v>
      </c>
      <c r="D39" s="3"/>
      <c r="E39" s="33">
        <f>B39*C39</f>
        <v>11635</v>
      </c>
    </row>
    <row r="40" spans="1:16" x14ac:dyDescent="0.3">
      <c r="A40" t="s">
        <v>14</v>
      </c>
      <c r="B40" s="3">
        <v>299</v>
      </c>
      <c r="C40" s="3">
        <v>1</v>
      </c>
      <c r="D40" s="3"/>
      <c r="E40" s="33">
        <f>B40*C40</f>
        <v>299</v>
      </c>
    </row>
    <row r="41" spans="1:16" ht="15" thickBot="1" x14ac:dyDescent="0.35">
      <c r="C41" s="36">
        <f>SUM(C36:C40)</f>
        <v>471</v>
      </c>
      <c r="D41" s="36"/>
      <c r="E41" s="35">
        <f>SUM(E36:E40)</f>
        <v>117279</v>
      </c>
    </row>
    <row r="42" spans="1:16" ht="15" thickTop="1" x14ac:dyDescent="0.3">
      <c r="C42" s="3"/>
      <c r="D42" s="3"/>
      <c r="E42" s="39"/>
    </row>
    <row r="44" spans="1:16" x14ac:dyDescent="0.3">
      <c r="A44" t="s">
        <v>205</v>
      </c>
    </row>
    <row r="45" spans="1:16" x14ac:dyDescent="0.3">
      <c r="A45" s="8" t="s">
        <v>220</v>
      </c>
      <c r="D45" s="3">
        <v>40</v>
      </c>
      <c r="E45" s="33">
        <f>D45*250</f>
        <v>10000</v>
      </c>
    </row>
    <row r="46" spans="1:16" x14ac:dyDescent="0.3">
      <c r="A46" s="8" t="s">
        <v>206</v>
      </c>
      <c r="D46" s="3">
        <v>40</v>
      </c>
      <c r="E46" s="33">
        <f t="shared" ref="E46:E59" si="0">D46*250</f>
        <v>10000</v>
      </c>
    </row>
    <row r="47" spans="1:16" x14ac:dyDescent="0.3">
      <c r="A47" s="8" t="s">
        <v>207</v>
      </c>
      <c r="D47" s="3">
        <v>20</v>
      </c>
      <c r="E47" s="33">
        <f t="shared" si="0"/>
        <v>5000</v>
      </c>
    </row>
    <row r="48" spans="1:16" x14ac:dyDescent="0.3">
      <c r="A48" s="8" t="s">
        <v>208</v>
      </c>
      <c r="D48" s="3">
        <v>20</v>
      </c>
      <c r="E48" s="33">
        <f t="shared" si="0"/>
        <v>5000</v>
      </c>
    </row>
    <row r="49" spans="1:5" x14ac:dyDescent="0.3">
      <c r="A49" s="8" t="s">
        <v>209</v>
      </c>
      <c r="D49" s="3">
        <v>38</v>
      </c>
      <c r="E49" s="33">
        <f t="shared" si="0"/>
        <v>9500</v>
      </c>
    </row>
    <row r="50" spans="1:5" x14ac:dyDescent="0.3">
      <c r="A50" s="8" t="s">
        <v>210</v>
      </c>
      <c r="D50" s="3">
        <v>30</v>
      </c>
      <c r="E50" s="33">
        <f t="shared" si="0"/>
        <v>7500</v>
      </c>
    </row>
    <row r="51" spans="1:5" x14ac:dyDescent="0.3">
      <c r="A51" s="8" t="s">
        <v>211</v>
      </c>
      <c r="D51" s="3">
        <v>25</v>
      </c>
      <c r="E51" s="33">
        <f t="shared" si="0"/>
        <v>6250</v>
      </c>
    </row>
    <row r="52" spans="1:5" x14ac:dyDescent="0.3">
      <c r="A52" s="8" t="s">
        <v>212</v>
      </c>
      <c r="D52" s="3">
        <v>30</v>
      </c>
      <c r="E52" s="33">
        <f t="shared" si="0"/>
        <v>7500</v>
      </c>
    </row>
    <row r="53" spans="1:5" x14ac:dyDescent="0.3">
      <c r="A53" s="8" t="s">
        <v>213</v>
      </c>
      <c r="D53" s="3">
        <v>50</v>
      </c>
      <c r="E53" s="33">
        <f t="shared" si="0"/>
        <v>12500</v>
      </c>
    </row>
    <row r="54" spans="1:5" x14ac:dyDescent="0.3">
      <c r="A54" s="8" t="s">
        <v>214</v>
      </c>
      <c r="D54" s="3">
        <v>25</v>
      </c>
      <c r="E54" s="33">
        <f t="shared" si="0"/>
        <v>6250</v>
      </c>
    </row>
    <row r="55" spans="1:5" x14ac:dyDescent="0.3">
      <c r="A55" s="8" t="s">
        <v>215</v>
      </c>
      <c r="D55" s="3">
        <v>20</v>
      </c>
      <c r="E55" s="33">
        <f t="shared" si="0"/>
        <v>5000</v>
      </c>
    </row>
    <row r="56" spans="1:5" x14ac:dyDescent="0.3">
      <c r="A56" s="8" t="s">
        <v>216</v>
      </c>
      <c r="D56" s="3">
        <v>40</v>
      </c>
      <c r="E56" s="33">
        <f t="shared" si="0"/>
        <v>10000</v>
      </c>
    </row>
    <row r="57" spans="1:5" x14ac:dyDescent="0.3">
      <c r="A57" s="8" t="s">
        <v>217</v>
      </c>
      <c r="D57" s="3">
        <v>40</v>
      </c>
      <c r="E57" s="33">
        <f t="shared" si="0"/>
        <v>10000</v>
      </c>
    </row>
    <row r="58" spans="1:5" x14ac:dyDescent="0.3">
      <c r="A58" s="8" t="s">
        <v>218</v>
      </c>
      <c r="D58" s="3">
        <v>30</v>
      </c>
      <c r="E58" s="33">
        <f t="shared" si="0"/>
        <v>7500</v>
      </c>
    </row>
    <row r="59" spans="1:5" x14ac:dyDescent="0.3">
      <c r="A59" s="8" t="s">
        <v>219</v>
      </c>
      <c r="D59" s="3">
        <v>23</v>
      </c>
      <c r="E59" s="33">
        <f t="shared" si="0"/>
        <v>5750</v>
      </c>
    </row>
    <row r="60" spans="1:5" ht="15" thickBot="1" x14ac:dyDescent="0.35">
      <c r="D60" s="38">
        <f>SUM(D45:D59)</f>
        <v>471</v>
      </c>
      <c r="E60" s="35">
        <f>SUM(E45:E59)</f>
        <v>117750</v>
      </c>
    </row>
    <row r="61" spans="1:5" ht="15" thickTop="1" x14ac:dyDescent="0.3"/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7CFA-3E6C-4748-A4F5-6E493107F0E0}">
  <dimension ref="B3:S42"/>
  <sheetViews>
    <sheetView workbookViewId="0">
      <selection activeCell="B2" sqref="B2"/>
    </sheetView>
  </sheetViews>
  <sheetFormatPr defaultRowHeight="14.4" x14ac:dyDescent="0.3"/>
  <cols>
    <col min="2" max="2" width="18.88671875" bestFit="1" customWidth="1"/>
    <col min="12" max="12" width="11.44140625" bestFit="1" customWidth="1"/>
  </cols>
  <sheetData>
    <row r="3" spans="2:19" s="40" customFormat="1" ht="41.4" x14ac:dyDescent="0.3">
      <c r="C3" s="27" t="s">
        <v>203</v>
      </c>
      <c r="D3" s="27" t="s">
        <v>204</v>
      </c>
      <c r="F3" s="27" t="s">
        <v>222</v>
      </c>
      <c r="G3" s="27" t="s">
        <v>224</v>
      </c>
      <c r="H3" s="27" t="s">
        <v>227</v>
      </c>
      <c r="I3" s="27" t="s">
        <v>225</v>
      </c>
      <c r="J3" s="27" t="s">
        <v>228</v>
      </c>
      <c r="K3" s="27"/>
      <c r="L3" s="27" t="s">
        <v>223</v>
      </c>
      <c r="M3" s="27" t="s">
        <v>224</v>
      </c>
      <c r="N3" s="27" t="s">
        <v>227</v>
      </c>
      <c r="O3" s="27" t="s">
        <v>225</v>
      </c>
      <c r="P3" s="27" t="s">
        <v>228</v>
      </c>
      <c r="R3" s="27" t="s">
        <v>229</v>
      </c>
      <c r="S3" s="27" t="s">
        <v>230</v>
      </c>
    </row>
    <row r="4" spans="2:19" x14ac:dyDescent="0.3">
      <c r="B4" t="s">
        <v>15</v>
      </c>
      <c r="C4" s="41">
        <v>259</v>
      </c>
      <c r="D4" s="41">
        <v>400</v>
      </c>
      <c r="E4" s="33"/>
      <c r="F4" s="41">
        <v>150</v>
      </c>
      <c r="G4" s="41">
        <v>130</v>
      </c>
      <c r="H4" s="41">
        <f>G4*C4</f>
        <v>33670</v>
      </c>
      <c r="I4" s="42">
        <v>20</v>
      </c>
      <c r="J4" s="42">
        <f>I4*C4</f>
        <v>5180</v>
      </c>
      <c r="K4" s="42"/>
      <c r="L4" s="41">
        <v>250</v>
      </c>
      <c r="M4" s="41">
        <v>230</v>
      </c>
      <c r="N4" s="41">
        <f>M4*C4</f>
        <v>59570</v>
      </c>
      <c r="O4" s="42">
        <v>20</v>
      </c>
      <c r="P4" s="42">
        <f>O4*C4</f>
        <v>5180</v>
      </c>
    </row>
    <row r="5" spans="2:19" x14ac:dyDescent="0.3">
      <c r="B5" t="s">
        <v>12</v>
      </c>
      <c r="C5" s="41">
        <v>349</v>
      </c>
      <c r="D5" s="41">
        <v>5</v>
      </c>
      <c r="E5" s="33"/>
      <c r="F5" s="41">
        <v>1</v>
      </c>
      <c r="G5" s="41">
        <v>1</v>
      </c>
      <c r="H5" s="41">
        <f t="shared" ref="H5:H7" si="0">G5*C5</f>
        <v>349</v>
      </c>
      <c r="I5" s="42"/>
      <c r="J5" s="42">
        <f t="shared" ref="J5:J7" si="1">I5*C5</f>
        <v>0</v>
      </c>
      <c r="K5" s="41"/>
      <c r="L5" s="41">
        <v>4</v>
      </c>
      <c r="M5" s="41">
        <v>4</v>
      </c>
      <c r="N5" s="41">
        <f t="shared" ref="N5:N7" si="2">M5*C5</f>
        <v>1396</v>
      </c>
      <c r="O5" s="43"/>
      <c r="P5" s="42">
        <f t="shared" ref="P5:P7" si="3">O5*C5</f>
        <v>0</v>
      </c>
    </row>
    <row r="6" spans="2:19" x14ac:dyDescent="0.3">
      <c r="B6" t="s">
        <v>13</v>
      </c>
      <c r="C6" s="41">
        <v>179</v>
      </c>
      <c r="D6" s="41">
        <v>65</v>
      </c>
      <c r="E6" s="33"/>
      <c r="F6" s="41">
        <v>40</v>
      </c>
      <c r="G6" s="41">
        <v>35</v>
      </c>
      <c r="H6" s="41">
        <f t="shared" si="0"/>
        <v>6265</v>
      </c>
      <c r="I6" s="42">
        <v>5</v>
      </c>
      <c r="J6" s="42">
        <f t="shared" si="1"/>
        <v>895</v>
      </c>
      <c r="K6" s="41"/>
      <c r="L6" s="41">
        <v>25</v>
      </c>
      <c r="M6" s="41">
        <v>20</v>
      </c>
      <c r="N6" s="41">
        <f t="shared" si="2"/>
        <v>3580</v>
      </c>
      <c r="O6" s="42">
        <v>5</v>
      </c>
      <c r="P6" s="42">
        <f t="shared" si="3"/>
        <v>895</v>
      </c>
    </row>
    <row r="7" spans="2:19" x14ac:dyDescent="0.3">
      <c r="B7" t="s">
        <v>14</v>
      </c>
      <c r="C7" s="41">
        <v>299</v>
      </c>
      <c r="D7" s="41">
        <v>1</v>
      </c>
      <c r="E7" s="33"/>
      <c r="F7" s="33"/>
      <c r="G7" s="33"/>
      <c r="H7" s="41">
        <f t="shared" si="0"/>
        <v>0</v>
      </c>
      <c r="I7" s="43"/>
      <c r="J7" s="42">
        <f t="shared" si="1"/>
        <v>0</v>
      </c>
      <c r="K7" s="33"/>
      <c r="L7" s="41">
        <v>1</v>
      </c>
      <c r="M7" s="41">
        <v>1</v>
      </c>
      <c r="N7" s="41">
        <f t="shared" si="2"/>
        <v>299</v>
      </c>
      <c r="O7" s="43"/>
      <c r="P7" s="42">
        <f t="shared" si="3"/>
        <v>0</v>
      </c>
    </row>
    <row r="8" spans="2:19" x14ac:dyDescent="0.3"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2:19" x14ac:dyDescent="0.3">
      <c r="B9" t="s">
        <v>226</v>
      </c>
      <c r="C9" s="33"/>
      <c r="D9" s="33"/>
      <c r="E9" s="33"/>
      <c r="F9" s="33"/>
      <c r="G9" s="33"/>
      <c r="H9" s="41">
        <f>SUM(H4:H8)</f>
        <v>40284</v>
      </c>
      <c r="I9" s="33"/>
      <c r="J9" s="42">
        <f>SUM(J4:J8)</f>
        <v>6075</v>
      </c>
      <c r="K9" s="33"/>
      <c r="L9" s="33"/>
      <c r="M9" s="33"/>
      <c r="N9" s="33">
        <f>SUM(N4:N8)</f>
        <v>64845</v>
      </c>
      <c r="O9" s="33"/>
      <c r="P9" s="42">
        <f>SUM(P4:P8)</f>
        <v>6075</v>
      </c>
      <c r="R9" s="33">
        <f>N9+H9</f>
        <v>105129</v>
      </c>
      <c r="S9" s="42">
        <f>P9+J9</f>
        <v>12150</v>
      </c>
    </row>
    <row r="10" spans="2:19" x14ac:dyDescent="0.3"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2:19" x14ac:dyDescent="0.3"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2:19" x14ac:dyDescent="0.3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2:19" x14ac:dyDescent="0.3"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2:19" x14ac:dyDescent="0.3"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2:19" x14ac:dyDescent="0.3"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</row>
    <row r="16" spans="2:19" x14ac:dyDescent="0.3"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</row>
    <row r="17" spans="3:16" x14ac:dyDescent="0.3"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 spans="3:16" x14ac:dyDescent="0.3"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 spans="3:16" x14ac:dyDescent="0.3"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</row>
    <row r="20" spans="3:16" x14ac:dyDescent="0.3"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</row>
    <row r="21" spans="3:16" x14ac:dyDescent="0.3"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</row>
    <row r="22" spans="3:16" x14ac:dyDescent="0.3"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</row>
    <row r="23" spans="3:16" x14ac:dyDescent="0.3"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</row>
    <row r="24" spans="3:16" x14ac:dyDescent="0.3"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</row>
    <row r="25" spans="3:16" x14ac:dyDescent="0.3"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</row>
    <row r="26" spans="3:16" x14ac:dyDescent="0.3"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</row>
    <row r="27" spans="3:16" x14ac:dyDescent="0.3"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3:16" x14ac:dyDescent="0.3"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</row>
    <row r="29" spans="3:16" x14ac:dyDescent="0.3"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</row>
    <row r="30" spans="3:16" x14ac:dyDescent="0.3"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3:16" x14ac:dyDescent="0.3"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3:16" x14ac:dyDescent="0.3"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3:16" x14ac:dyDescent="0.3"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3:16" x14ac:dyDescent="0.3"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3:16" x14ac:dyDescent="0.3"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3:16" x14ac:dyDescent="0.3"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</row>
    <row r="37" spans="3:16" x14ac:dyDescent="0.3"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</row>
    <row r="38" spans="3:16" x14ac:dyDescent="0.3"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</row>
    <row r="39" spans="3:16" x14ac:dyDescent="0.3"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</row>
    <row r="40" spans="3:16" x14ac:dyDescent="0.3"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</row>
    <row r="41" spans="3:16" x14ac:dyDescent="0.3"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</row>
    <row r="42" spans="3:16" x14ac:dyDescent="0.3"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E0D6-816A-4C74-BB30-A82D1E8AE76D}">
  <dimension ref="A1:Z63"/>
  <sheetViews>
    <sheetView workbookViewId="0"/>
  </sheetViews>
  <sheetFormatPr defaultRowHeight="14.4" x14ac:dyDescent="0.3"/>
  <cols>
    <col min="1" max="1" width="33" bestFit="1" customWidth="1"/>
    <col min="2" max="2" width="28.33203125" bestFit="1" customWidth="1"/>
    <col min="3" max="3" width="11.33203125" customWidth="1"/>
    <col min="4" max="4" width="16.5546875" customWidth="1"/>
    <col min="5" max="5" width="11.33203125" customWidth="1"/>
    <col min="6" max="6" width="16.5546875" customWidth="1"/>
    <col min="7" max="7" width="11.33203125" customWidth="1"/>
    <col min="8" max="8" width="16.5546875" customWidth="1"/>
    <col min="9" max="9" width="11.33203125" customWidth="1"/>
    <col min="10" max="10" width="16.5546875" customWidth="1"/>
    <col min="11" max="11" width="11.33203125" customWidth="1"/>
    <col min="12" max="12" width="16.5546875" customWidth="1"/>
    <col min="13" max="13" width="11.33203125" customWidth="1"/>
    <col min="14" max="14" width="16.5546875" customWidth="1"/>
    <col min="15" max="15" width="11.33203125" customWidth="1"/>
    <col min="16" max="16" width="16.5546875" customWidth="1"/>
    <col min="17" max="17" width="11.33203125" customWidth="1"/>
    <col min="18" max="18" width="16.5546875" customWidth="1"/>
    <col min="19" max="19" width="11.33203125" customWidth="1"/>
    <col min="20" max="20" width="16.5546875" customWidth="1"/>
    <col min="21" max="21" width="11.33203125" customWidth="1"/>
    <col min="22" max="22" width="16.5546875" customWidth="1"/>
    <col min="23" max="23" width="11.33203125" customWidth="1"/>
    <col min="24" max="24" width="16.5546875" customWidth="1"/>
    <col min="25" max="25" width="11.33203125" customWidth="1"/>
    <col min="26" max="26" width="16.5546875" customWidth="1"/>
  </cols>
  <sheetData>
    <row r="1" spans="1:26" x14ac:dyDescent="0.3">
      <c r="A1" s="2" t="s">
        <v>231</v>
      </c>
    </row>
    <row r="4" spans="1:26" ht="15" thickBot="1" x14ac:dyDescent="0.35">
      <c r="A4" s="44" t="s">
        <v>232</v>
      </c>
      <c r="B4" s="44" t="s">
        <v>233</v>
      </c>
      <c r="C4" s="45">
        <v>46023</v>
      </c>
      <c r="D4" s="45"/>
      <c r="E4" s="45">
        <v>46054</v>
      </c>
      <c r="F4" s="45"/>
      <c r="G4" s="45">
        <v>46082</v>
      </c>
      <c r="H4" s="45"/>
      <c r="I4" s="45">
        <v>46113</v>
      </c>
      <c r="J4" s="45"/>
      <c r="K4" s="45">
        <v>46143</v>
      </c>
      <c r="L4" s="45"/>
      <c r="M4" s="45">
        <v>46174</v>
      </c>
      <c r="N4" s="45"/>
      <c r="O4" s="45">
        <v>46204</v>
      </c>
      <c r="P4" s="45"/>
      <c r="Q4" s="45">
        <v>46235</v>
      </c>
      <c r="R4" s="45"/>
      <c r="S4" s="45">
        <v>46266</v>
      </c>
      <c r="T4" s="45"/>
      <c r="U4" s="45">
        <v>46296</v>
      </c>
      <c r="V4" s="45"/>
      <c r="W4" s="45">
        <v>46327</v>
      </c>
      <c r="X4" s="45"/>
      <c r="Y4" s="45">
        <v>46357</v>
      </c>
      <c r="Z4" s="45"/>
    </row>
    <row r="6" spans="1:26" x14ac:dyDescent="0.3">
      <c r="A6" t="s">
        <v>234</v>
      </c>
      <c r="B6" s="46" t="s">
        <v>235</v>
      </c>
      <c r="C6" s="47">
        <v>6070</v>
      </c>
      <c r="E6" s="47">
        <v>6019</v>
      </c>
      <c r="G6" s="47">
        <v>0</v>
      </c>
      <c r="I6" s="47">
        <v>0</v>
      </c>
      <c r="K6" s="47">
        <v>0</v>
      </c>
      <c r="M6" s="47">
        <v>0</v>
      </c>
      <c r="O6" s="47">
        <v>0</v>
      </c>
      <c r="Q6" s="47">
        <v>0</v>
      </c>
      <c r="S6" s="47">
        <v>0</v>
      </c>
      <c r="U6" s="47">
        <v>0</v>
      </c>
      <c r="W6" s="47">
        <v>0</v>
      </c>
      <c r="Y6" s="47">
        <v>0</v>
      </c>
    </row>
    <row r="7" spans="1:26" x14ac:dyDescent="0.3">
      <c r="A7" t="s">
        <v>236</v>
      </c>
      <c r="B7" s="46" t="s">
        <v>237</v>
      </c>
      <c r="C7" s="47">
        <v>61</v>
      </c>
      <c r="E7" s="47">
        <v>61</v>
      </c>
      <c r="G7" s="47">
        <v>0</v>
      </c>
      <c r="I7" s="47">
        <v>0</v>
      </c>
      <c r="K7" s="47">
        <v>0</v>
      </c>
      <c r="M7" s="47">
        <v>0</v>
      </c>
      <c r="O7" s="47">
        <v>0</v>
      </c>
      <c r="Q7" s="47">
        <v>0</v>
      </c>
      <c r="S7" s="47">
        <v>0</v>
      </c>
      <c r="U7" s="47">
        <v>0</v>
      </c>
      <c r="W7" s="47">
        <v>0</v>
      </c>
      <c r="Y7" s="47">
        <v>0</v>
      </c>
    </row>
    <row r="8" spans="1:26" x14ac:dyDescent="0.3">
      <c r="A8" t="s">
        <v>238</v>
      </c>
      <c r="B8" s="46" t="s">
        <v>239</v>
      </c>
      <c r="C8" s="47">
        <v>169</v>
      </c>
      <c r="E8" s="47">
        <v>20</v>
      </c>
      <c r="G8" s="47">
        <v>0</v>
      </c>
      <c r="I8" s="47">
        <v>0</v>
      </c>
      <c r="K8" s="47">
        <v>0</v>
      </c>
      <c r="M8" s="47">
        <v>0</v>
      </c>
      <c r="O8" s="47">
        <v>0</v>
      </c>
      <c r="Q8" s="47">
        <v>0</v>
      </c>
      <c r="S8" s="47">
        <v>0</v>
      </c>
      <c r="U8" s="47">
        <v>0</v>
      </c>
      <c r="W8" s="47">
        <v>0</v>
      </c>
      <c r="Y8" s="47">
        <v>0</v>
      </c>
    </row>
    <row r="9" spans="1:26" x14ac:dyDescent="0.3">
      <c r="A9" t="s">
        <v>240</v>
      </c>
      <c r="B9" s="46" t="s">
        <v>241</v>
      </c>
      <c r="C9" s="47">
        <v>2</v>
      </c>
      <c r="E9" s="47">
        <v>3</v>
      </c>
      <c r="G9" s="47">
        <v>0</v>
      </c>
      <c r="I9" s="47">
        <v>0</v>
      </c>
      <c r="K9" s="47">
        <v>0</v>
      </c>
      <c r="M9" s="47">
        <v>0</v>
      </c>
      <c r="O9" s="47">
        <v>0</v>
      </c>
      <c r="Q9" s="47">
        <v>0</v>
      </c>
      <c r="S9" s="47">
        <v>0</v>
      </c>
      <c r="U9" s="47">
        <v>0</v>
      </c>
      <c r="W9" s="47">
        <v>0</v>
      </c>
      <c r="Y9" s="47">
        <v>0</v>
      </c>
    </row>
    <row r="10" spans="1:26" x14ac:dyDescent="0.3">
      <c r="A10" t="s">
        <v>242</v>
      </c>
      <c r="B10" s="46" t="s">
        <v>243</v>
      </c>
      <c r="C10" s="47">
        <v>2</v>
      </c>
      <c r="E10" s="47">
        <v>3</v>
      </c>
      <c r="G10" s="47">
        <v>0</v>
      </c>
      <c r="I10" s="47">
        <v>0</v>
      </c>
      <c r="K10" s="47">
        <v>0</v>
      </c>
      <c r="M10" s="47">
        <v>0</v>
      </c>
      <c r="O10" s="47">
        <v>0</v>
      </c>
      <c r="Q10" s="47">
        <v>0</v>
      </c>
      <c r="S10" s="47">
        <v>0</v>
      </c>
      <c r="U10" s="47">
        <v>0</v>
      </c>
      <c r="W10" s="47">
        <v>0</v>
      </c>
      <c r="Y10" s="47">
        <v>0</v>
      </c>
    </row>
    <row r="11" spans="1:26" x14ac:dyDescent="0.3">
      <c r="A11" t="s">
        <v>244</v>
      </c>
      <c r="B11" s="46" t="s">
        <v>245</v>
      </c>
      <c r="C11" s="47">
        <v>47</v>
      </c>
      <c r="E11" s="47">
        <v>88</v>
      </c>
      <c r="G11" s="47">
        <v>0</v>
      </c>
      <c r="I11" s="47">
        <v>0</v>
      </c>
      <c r="K11" s="47">
        <v>0</v>
      </c>
      <c r="M11" s="47">
        <v>0</v>
      </c>
      <c r="O11" s="47">
        <v>0</v>
      </c>
      <c r="Q11" s="47">
        <v>0</v>
      </c>
      <c r="S11" s="47">
        <v>0</v>
      </c>
      <c r="U11" s="47">
        <v>0</v>
      </c>
      <c r="W11" s="47">
        <v>0</v>
      </c>
      <c r="Y11" s="47">
        <v>0</v>
      </c>
    </row>
    <row r="12" spans="1:26" x14ac:dyDescent="0.3">
      <c r="A12" t="s">
        <v>246</v>
      </c>
      <c r="B12" s="46" t="s">
        <v>247</v>
      </c>
      <c r="C12" s="47">
        <v>20</v>
      </c>
      <c r="E12" s="47">
        <v>16</v>
      </c>
      <c r="G12" s="47">
        <v>0</v>
      </c>
      <c r="I12" s="47">
        <v>0</v>
      </c>
      <c r="K12" s="47">
        <v>0</v>
      </c>
      <c r="M12" s="47">
        <v>0</v>
      </c>
      <c r="O12" s="47">
        <v>0</v>
      </c>
      <c r="Q12" s="47">
        <v>0</v>
      </c>
      <c r="S12" s="47">
        <v>0</v>
      </c>
      <c r="U12" s="47">
        <v>0</v>
      </c>
      <c r="W12" s="47">
        <v>0</v>
      </c>
      <c r="Y12" s="47">
        <v>0</v>
      </c>
    </row>
    <row r="13" spans="1:26" x14ac:dyDescent="0.3">
      <c r="A13" t="s">
        <v>248</v>
      </c>
      <c r="B13" s="46" t="s">
        <v>249</v>
      </c>
      <c r="C13" s="47">
        <v>0</v>
      </c>
      <c r="E13" s="47">
        <v>1</v>
      </c>
      <c r="G13" s="47">
        <v>0</v>
      </c>
      <c r="I13" s="47">
        <v>0</v>
      </c>
      <c r="K13" s="47">
        <v>0</v>
      </c>
      <c r="M13" s="47">
        <v>0</v>
      </c>
      <c r="O13" s="47">
        <v>0</v>
      </c>
      <c r="Q13" s="47">
        <v>0</v>
      </c>
      <c r="S13" s="47">
        <v>0</v>
      </c>
      <c r="U13" s="47">
        <v>0</v>
      </c>
      <c r="W13" s="47">
        <v>0</v>
      </c>
      <c r="Y13" s="47">
        <v>0</v>
      </c>
    </row>
    <row r="14" spans="1:26" x14ac:dyDescent="0.3">
      <c r="A14" s="48" t="s">
        <v>250</v>
      </c>
      <c r="B14" s="46" t="s">
        <v>251</v>
      </c>
      <c r="C14" s="47">
        <v>1</v>
      </c>
      <c r="E14" s="47">
        <v>3</v>
      </c>
      <c r="G14" s="47">
        <v>0</v>
      </c>
      <c r="I14" s="47">
        <v>0</v>
      </c>
      <c r="K14" s="47">
        <v>0</v>
      </c>
      <c r="M14" s="47">
        <v>0</v>
      </c>
      <c r="O14" s="47">
        <v>0</v>
      </c>
      <c r="Q14" s="47">
        <v>0</v>
      </c>
      <c r="S14" s="47">
        <v>0</v>
      </c>
      <c r="U14" s="47">
        <v>0</v>
      </c>
      <c r="W14" s="47">
        <v>0</v>
      </c>
      <c r="Y14" s="47">
        <v>0</v>
      </c>
    </row>
    <row r="15" spans="1:26" x14ac:dyDescent="0.3">
      <c r="A15" s="49" t="s">
        <v>252</v>
      </c>
      <c r="B15" s="46" t="s">
        <v>253</v>
      </c>
      <c r="C15" s="47">
        <v>1</v>
      </c>
      <c r="E15" s="47">
        <v>3</v>
      </c>
      <c r="G15" s="47">
        <v>0</v>
      </c>
      <c r="I15" s="47">
        <v>0</v>
      </c>
      <c r="K15" s="47">
        <v>0</v>
      </c>
      <c r="M15" s="47">
        <v>0</v>
      </c>
      <c r="O15" s="47">
        <v>0</v>
      </c>
      <c r="Q15" s="47">
        <v>0</v>
      </c>
      <c r="S15" s="47">
        <v>0</v>
      </c>
      <c r="U15" s="47">
        <v>0</v>
      </c>
      <c r="W15" s="47">
        <v>0</v>
      </c>
      <c r="Y15" s="47">
        <v>0</v>
      </c>
    </row>
    <row r="16" spans="1:26" x14ac:dyDescent="0.3">
      <c r="A16" s="49" t="s">
        <v>254</v>
      </c>
      <c r="B16" s="46" t="s">
        <v>255</v>
      </c>
      <c r="C16" s="47">
        <v>0</v>
      </c>
      <c r="E16" s="47">
        <v>0</v>
      </c>
      <c r="G16" s="47">
        <v>0</v>
      </c>
      <c r="I16" s="47">
        <v>0</v>
      </c>
      <c r="K16" s="47">
        <v>0</v>
      </c>
      <c r="M16" s="47">
        <v>0</v>
      </c>
      <c r="O16" s="47">
        <v>0</v>
      </c>
      <c r="Q16" s="47">
        <v>0</v>
      </c>
      <c r="S16" s="47">
        <v>0</v>
      </c>
      <c r="U16" s="47">
        <v>0</v>
      </c>
      <c r="W16" s="47">
        <v>0</v>
      </c>
      <c r="Y16" s="47">
        <v>0</v>
      </c>
    </row>
    <row r="17" spans="1:26" x14ac:dyDescent="0.3">
      <c r="A17" s="49" t="s">
        <v>256</v>
      </c>
      <c r="B17" s="46" t="s">
        <v>257</v>
      </c>
      <c r="C17" s="47">
        <v>0</v>
      </c>
      <c r="E17" s="47">
        <v>0</v>
      </c>
      <c r="G17" s="47">
        <v>0</v>
      </c>
      <c r="I17" s="47">
        <v>0</v>
      </c>
      <c r="K17" s="47">
        <v>0</v>
      </c>
      <c r="M17" s="47">
        <v>0</v>
      </c>
      <c r="O17" s="47">
        <v>0</v>
      </c>
      <c r="Q17" s="47">
        <v>0</v>
      </c>
      <c r="S17" s="47">
        <v>0</v>
      </c>
      <c r="U17" s="47">
        <v>0</v>
      </c>
      <c r="W17" s="47">
        <v>0</v>
      </c>
      <c r="Y17" s="47">
        <v>0</v>
      </c>
    </row>
    <row r="18" spans="1:26" x14ac:dyDescent="0.3">
      <c r="A18" t="s">
        <v>258</v>
      </c>
      <c r="B18" s="46" t="s">
        <v>259</v>
      </c>
      <c r="C18" s="47">
        <v>15</v>
      </c>
      <c r="E18" s="47">
        <v>8</v>
      </c>
      <c r="G18" s="47">
        <v>0</v>
      </c>
      <c r="I18" s="47">
        <v>0</v>
      </c>
      <c r="K18" s="47">
        <v>0</v>
      </c>
      <c r="M18" s="47">
        <v>0</v>
      </c>
      <c r="O18" s="47">
        <v>0</v>
      </c>
      <c r="Q18" s="47">
        <v>0</v>
      </c>
      <c r="S18" s="47">
        <v>0</v>
      </c>
      <c r="U18" s="47">
        <v>0</v>
      </c>
      <c r="W18" s="47">
        <v>0</v>
      </c>
      <c r="Y18" s="47">
        <v>0</v>
      </c>
    </row>
    <row r="20" spans="1:26" ht="16.2" thickBot="1" x14ac:dyDescent="0.35">
      <c r="A20" s="50" t="s">
        <v>260</v>
      </c>
      <c r="C20" s="35">
        <f>SUM(C6:C19)</f>
        <v>6388</v>
      </c>
      <c r="D20" s="34"/>
      <c r="E20" s="35">
        <f>SUM(E6:E19)</f>
        <v>6225</v>
      </c>
      <c r="F20" s="34"/>
      <c r="G20" s="35">
        <f>SUM(G6:G19)</f>
        <v>0</v>
      </c>
      <c r="H20" s="34"/>
      <c r="I20" s="35">
        <f>SUM(I6:I19)</f>
        <v>0</v>
      </c>
      <c r="J20" s="34"/>
      <c r="K20" s="35">
        <f>SUM(K6:K19)</f>
        <v>0</v>
      </c>
      <c r="L20" s="34"/>
      <c r="M20" s="35">
        <f>SUM(M6:M19)</f>
        <v>0</v>
      </c>
      <c r="N20" s="34"/>
      <c r="O20" s="35">
        <f>SUM(O6:O19)</f>
        <v>0</v>
      </c>
      <c r="P20" s="34"/>
      <c r="Q20" s="35">
        <f>SUM(Q6:Q19)</f>
        <v>0</v>
      </c>
      <c r="R20" s="34"/>
      <c r="S20" s="35">
        <f>SUM(S6:S19)</f>
        <v>0</v>
      </c>
      <c r="T20" s="34"/>
      <c r="U20" s="35">
        <f>SUM(U6:U19)</f>
        <v>0</v>
      </c>
      <c r="V20" s="34"/>
      <c r="W20" s="35">
        <f>SUM(W6:W19)</f>
        <v>0</v>
      </c>
      <c r="X20" s="34"/>
      <c r="Y20" s="35">
        <f>SUM(Y6:Y19)</f>
        <v>0</v>
      </c>
      <c r="Z20" s="34"/>
    </row>
    <row r="21" spans="1:26" ht="16.2" thickTop="1" x14ac:dyDescent="0.3">
      <c r="A21" s="51"/>
      <c r="B21" s="52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6" x14ac:dyDescent="0.3">
      <c r="A22" s="50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" thickBot="1" x14ac:dyDescent="0.35">
      <c r="A23" s="54" t="s">
        <v>261</v>
      </c>
      <c r="B23" s="55"/>
      <c r="C23" s="56" t="s">
        <v>262</v>
      </c>
      <c r="D23" s="57" t="s">
        <v>263</v>
      </c>
      <c r="E23" s="56" t="s">
        <v>262</v>
      </c>
      <c r="F23" s="57" t="s">
        <v>263</v>
      </c>
      <c r="G23" s="56" t="s">
        <v>262</v>
      </c>
      <c r="H23" s="57" t="s">
        <v>263</v>
      </c>
      <c r="I23" s="56" t="s">
        <v>262</v>
      </c>
      <c r="J23" s="57" t="s">
        <v>263</v>
      </c>
      <c r="K23" s="56" t="s">
        <v>262</v>
      </c>
      <c r="L23" s="57" t="s">
        <v>263</v>
      </c>
      <c r="M23" s="56" t="s">
        <v>262</v>
      </c>
      <c r="N23" s="57" t="s">
        <v>263</v>
      </c>
      <c r="O23" s="56" t="s">
        <v>262</v>
      </c>
      <c r="P23" s="57" t="s">
        <v>263</v>
      </c>
      <c r="Q23" s="56" t="s">
        <v>262</v>
      </c>
      <c r="R23" s="57" t="s">
        <v>263</v>
      </c>
      <c r="S23" s="56" t="s">
        <v>262</v>
      </c>
      <c r="T23" s="57" t="s">
        <v>263</v>
      </c>
      <c r="U23" s="56" t="s">
        <v>262</v>
      </c>
      <c r="V23" s="57" t="s">
        <v>263</v>
      </c>
      <c r="W23" s="56" t="s">
        <v>262</v>
      </c>
      <c r="X23" s="57" t="s">
        <v>263</v>
      </c>
      <c r="Y23" s="56" t="s">
        <v>262</v>
      </c>
      <c r="Z23" s="57" t="s">
        <v>263</v>
      </c>
    </row>
    <row r="24" spans="1:26" x14ac:dyDescent="0.3">
      <c r="B24" t="s">
        <v>264</v>
      </c>
      <c r="C24" s="47">
        <v>2</v>
      </c>
      <c r="D24" s="58">
        <f>C24*99</f>
        <v>198</v>
      </c>
      <c r="E24" s="47">
        <v>2</v>
      </c>
      <c r="F24" s="58">
        <f>E24*99</f>
        <v>198</v>
      </c>
      <c r="G24" s="47">
        <v>0</v>
      </c>
      <c r="H24" s="58">
        <f>G24*99</f>
        <v>0</v>
      </c>
      <c r="I24" s="47">
        <v>0</v>
      </c>
      <c r="J24" s="58">
        <f>I24*99</f>
        <v>0</v>
      </c>
      <c r="K24" s="47">
        <v>0</v>
      </c>
      <c r="L24" s="58">
        <f>K24*99</f>
        <v>0</v>
      </c>
      <c r="M24" s="47">
        <v>0</v>
      </c>
      <c r="N24" s="58">
        <f>M24*99</f>
        <v>0</v>
      </c>
      <c r="O24" s="47">
        <v>0</v>
      </c>
      <c r="P24" s="58">
        <f>O24*99</f>
        <v>0</v>
      </c>
      <c r="Q24" s="47">
        <v>0</v>
      </c>
      <c r="R24" s="58">
        <f>Q24*99</f>
        <v>0</v>
      </c>
      <c r="S24" s="47">
        <v>0</v>
      </c>
      <c r="T24" s="58">
        <f>S24*99</f>
        <v>0</v>
      </c>
      <c r="U24" s="47">
        <v>0</v>
      </c>
      <c r="V24" s="58">
        <f>U24*99</f>
        <v>0</v>
      </c>
      <c r="W24" s="47">
        <v>0</v>
      </c>
      <c r="X24" s="58">
        <f>W24*99</f>
        <v>0</v>
      </c>
      <c r="Y24" s="47">
        <v>0</v>
      </c>
      <c r="Z24" s="58">
        <f>Y24*99</f>
        <v>0</v>
      </c>
    </row>
    <row r="25" spans="1:26" x14ac:dyDescent="0.3">
      <c r="B25" t="s">
        <v>278</v>
      </c>
      <c r="C25" s="47">
        <v>19</v>
      </c>
      <c r="D25" s="58">
        <f>C25*109</f>
        <v>2071</v>
      </c>
      <c r="E25" s="47">
        <v>18</v>
      </c>
      <c r="F25" s="58">
        <f>E25*109</f>
        <v>1962</v>
      </c>
      <c r="G25" s="47">
        <v>0</v>
      </c>
      <c r="H25" s="58">
        <f>G25*109</f>
        <v>0</v>
      </c>
      <c r="I25" s="47">
        <v>0</v>
      </c>
      <c r="J25" s="58">
        <f>I25*109</f>
        <v>0</v>
      </c>
      <c r="K25" s="47">
        <v>0</v>
      </c>
      <c r="L25" s="58">
        <f>K25*109</f>
        <v>0</v>
      </c>
      <c r="M25" s="47">
        <v>0</v>
      </c>
      <c r="N25" s="58">
        <f>M25*109</f>
        <v>0</v>
      </c>
      <c r="O25" s="47">
        <v>0</v>
      </c>
      <c r="P25" s="58">
        <f>O25*109</f>
        <v>0</v>
      </c>
      <c r="Q25" s="47">
        <v>0</v>
      </c>
      <c r="R25" s="58">
        <f>Q25*109</f>
        <v>0</v>
      </c>
      <c r="S25" s="47">
        <v>0</v>
      </c>
      <c r="T25" s="58">
        <f>S25*109</f>
        <v>0</v>
      </c>
      <c r="U25" s="47">
        <v>0</v>
      </c>
      <c r="V25" s="58">
        <f>U25*109</f>
        <v>0</v>
      </c>
      <c r="W25" s="47">
        <v>0</v>
      </c>
      <c r="X25" s="58">
        <f>W25*109</f>
        <v>0</v>
      </c>
      <c r="Y25" s="47">
        <v>0</v>
      </c>
      <c r="Z25" s="58">
        <f>Y25*109</f>
        <v>0</v>
      </c>
    </row>
    <row r="26" spans="1:26" x14ac:dyDescent="0.3">
      <c r="B26" t="s">
        <v>279</v>
      </c>
      <c r="C26" s="47">
        <v>42</v>
      </c>
      <c r="D26" s="58">
        <f>C26*119</f>
        <v>4998</v>
      </c>
      <c r="E26" s="47">
        <v>43</v>
      </c>
      <c r="F26" s="58">
        <f>E26*119</f>
        <v>5117</v>
      </c>
      <c r="G26" s="47">
        <v>0</v>
      </c>
      <c r="H26" s="58">
        <f>G26*119</f>
        <v>0</v>
      </c>
      <c r="I26" s="47">
        <v>0</v>
      </c>
      <c r="J26" s="58">
        <f>I26*119</f>
        <v>0</v>
      </c>
      <c r="K26" s="47">
        <v>0</v>
      </c>
      <c r="L26" s="58">
        <f>K26*119</f>
        <v>0</v>
      </c>
      <c r="M26" s="47">
        <v>0</v>
      </c>
      <c r="N26" s="58">
        <f>M26*119</f>
        <v>0</v>
      </c>
      <c r="O26" s="47">
        <v>0</v>
      </c>
      <c r="P26" s="58">
        <f>O26*119</f>
        <v>0</v>
      </c>
      <c r="Q26" s="47">
        <v>0</v>
      </c>
      <c r="R26" s="58">
        <f>Q26*119</f>
        <v>0</v>
      </c>
      <c r="S26" s="47">
        <v>0</v>
      </c>
      <c r="T26" s="58">
        <f>S26*119</f>
        <v>0</v>
      </c>
      <c r="U26" s="47">
        <v>0</v>
      </c>
      <c r="V26" s="58">
        <f>U26*119</f>
        <v>0</v>
      </c>
      <c r="W26" s="47">
        <v>0</v>
      </c>
      <c r="X26" s="58">
        <f>W26*119</f>
        <v>0</v>
      </c>
      <c r="Y26" s="47">
        <v>0</v>
      </c>
      <c r="Z26" s="58">
        <f>Y26*119</f>
        <v>0</v>
      </c>
    </row>
    <row r="27" spans="1:26" x14ac:dyDescent="0.3">
      <c r="B27" t="s">
        <v>265</v>
      </c>
      <c r="C27" s="47">
        <v>294</v>
      </c>
      <c r="D27" s="58">
        <f>C27*129</f>
        <v>37926</v>
      </c>
      <c r="E27" s="47">
        <v>297</v>
      </c>
      <c r="F27" s="58">
        <f>E27*129</f>
        <v>38313</v>
      </c>
      <c r="G27" s="47">
        <v>0</v>
      </c>
      <c r="H27" s="58">
        <f>G27*129</f>
        <v>0</v>
      </c>
      <c r="I27" s="47">
        <v>0</v>
      </c>
      <c r="J27" s="58">
        <f>I27*129</f>
        <v>0</v>
      </c>
      <c r="K27" s="47">
        <v>0</v>
      </c>
      <c r="L27" s="58">
        <f>K27*129</f>
        <v>0</v>
      </c>
      <c r="M27" s="47">
        <v>0</v>
      </c>
      <c r="N27" s="58">
        <f>M27*129</f>
        <v>0</v>
      </c>
      <c r="O27" s="47">
        <v>0</v>
      </c>
      <c r="P27" s="58">
        <f>O27*129</f>
        <v>0</v>
      </c>
      <c r="Q27" s="47">
        <v>0</v>
      </c>
      <c r="R27" s="58">
        <f>Q27*129</f>
        <v>0</v>
      </c>
      <c r="S27" s="47">
        <v>0</v>
      </c>
      <c r="T27" s="58">
        <f>S27*129</f>
        <v>0</v>
      </c>
      <c r="U27" s="47">
        <v>0</v>
      </c>
      <c r="V27" s="58">
        <f>U27*129</f>
        <v>0</v>
      </c>
      <c r="W27" s="47">
        <v>0</v>
      </c>
      <c r="X27" s="58">
        <f>W27*129</f>
        <v>0</v>
      </c>
      <c r="Y27" s="47">
        <v>0</v>
      </c>
      <c r="Z27" s="58">
        <f>Y27*129</f>
        <v>0</v>
      </c>
    </row>
    <row r="28" spans="1:26" x14ac:dyDescent="0.3">
      <c r="B28" t="s">
        <v>280</v>
      </c>
      <c r="C28" s="47">
        <v>1487</v>
      </c>
      <c r="D28" s="58">
        <f>C28*139</f>
        <v>206693</v>
      </c>
      <c r="E28" s="47">
        <v>1463</v>
      </c>
      <c r="F28" s="58">
        <f>E28*139</f>
        <v>203357</v>
      </c>
      <c r="G28" s="47">
        <v>0</v>
      </c>
      <c r="H28" s="58">
        <f>G28*139</f>
        <v>0</v>
      </c>
      <c r="I28" s="47">
        <v>0</v>
      </c>
      <c r="J28" s="58">
        <f>I28*139</f>
        <v>0</v>
      </c>
      <c r="K28" s="47">
        <v>0</v>
      </c>
      <c r="L28" s="58">
        <f>K28*139</f>
        <v>0</v>
      </c>
      <c r="M28" s="47">
        <v>0</v>
      </c>
      <c r="N28" s="58">
        <f>M28*139</f>
        <v>0</v>
      </c>
      <c r="O28" s="47">
        <v>0</v>
      </c>
      <c r="P28" s="58">
        <f>O28*139</f>
        <v>0</v>
      </c>
      <c r="Q28" s="47">
        <v>0</v>
      </c>
      <c r="R28" s="58">
        <f>Q28*139</f>
        <v>0</v>
      </c>
      <c r="S28" s="47">
        <v>0</v>
      </c>
      <c r="T28" s="58">
        <f>S28*139</f>
        <v>0</v>
      </c>
      <c r="U28" s="47">
        <v>0</v>
      </c>
      <c r="V28" s="58">
        <f>U28*139</f>
        <v>0</v>
      </c>
      <c r="W28" s="47">
        <v>0</v>
      </c>
      <c r="X28" s="58">
        <f>W28*139</f>
        <v>0</v>
      </c>
      <c r="Y28" s="47">
        <v>0</v>
      </c>
      <c r="Z28" s="58">
        <f>Y28*139</f>
        <v>0</v>
      </c>
    </row>
    <row r="29" spans="1:26" x14ac:dyDescent="0.3">
      <c r="B29" t="s">
        <v>266</v>
      </c>
      <c r="C29" s="47">
        <v>1475</v>
      </c>
      <c r="D29" s="58">
        <f>C29*149</f>
        <v>219775</v>
      </c>
      <c r="E29" s="47">
        <v>1449</v>
      </c>
      <c r="F29" s="58">
        <f>E29*149</f>
        <v>215901</v>
      </c>
      <c r="G29" s="47">
        <v>0</v>
      </c>
      <c r="H29" s="58">
        <f>G29*149</f>
        <v>0</v>
      </c>
      <c r="I29" s="47">
        <v>0</v>
      </c>
      <c r="J29" s="58">
        <f>I29*149</f>
        <v>0</v>
      </c>
      <c r="K29" s="47">
        <v>0</v>
      </c>
      <c r="L29" s="58">
        <f>K29*149</f>
        <v>0</v>
      </c>
      <c r="M29" s="47">
        <v>0</v>
      </c>
      <c r="N29" s="58">
        <f>M29*149</f>
        <v>0</v>
      </c>
      <c r="O29" s="47">
        <v>0</v>
      </c>
      <c r="P29" s="58">
        <f>O29*149</f>
        <v>0</v>
      </c>
      <c r="Q29" s="47">
        <v>0</v>
      </c>
      <c r="R29" s="58">
        <f>Q29*149</f>
        <v>0</v>
      </c>
      <c r="S29" s="47">
        <v>0</v>
      </c>
      <c r="T29" s="58">
        <f>S29*149</f>
        <v>0</v>
      </c>
      <c r="U29" s="47">
        <v>0</v>
      </c>
      <c r="V29" s="58">
        <f>U29*149</f>
        <v>0</v>
      </c>
      <c r="W29" s="47">
        <v>0</v>
      </c>
      <c r="X29" s="58">
        <f>W29*149</f>
        <v>0</v>
      </c>
      <c r="Y29" s="47">
        <v>0</v>
      </c>
      <c r="Z29" s="58">
        <f>Y29*149</f>
        <v>0</v>
      </c>
    </row>
    <row r="30" spans="1:26" x14ac:dyDescent="0.3">
      <c r="B30" t="s">
        <v>281</v>
      </c>
      <c r="C30" s="47">
        <v>811</v>
      </c>
      <c r="D30" s="58">
        <f>C30*159</f>
        <v>128949</v>
      </c>
      <c r="E30" s="47">
        <v>819</v>
      </c>
      <c r="F30" s="58">
        <f>E30*159</f>
        <v>130221</v>
      </c>
      <c r="G30" s="47">
        <v>0</v>
      </c>
      <c r="H30" s="58">
        <f>G30*159</f>
        <v>0</v>
      </c>
      <c r="I30" s="47">
        <v>0</v>
      </c>
      <c r="J30" s="58">
        <f>I30*159</f>
        <v>0</v>
      </c>
      <c r="K30" s="47">
        <v>0</v>
      </c>
      <c r="L30" s="58">
        <f>K30*159</f>
        <v>0</v>
      </c>
      <c r="M30" s="47">
        <v>0</v>
      </c>
      <c r="N30" s="58">
        <f>M30*159</f>
        <v>0</v>
      </c>
      <c r="O30" s="47">
        <v>0</v>
      </c>
      <c r="P30" s="58">
        <f>O30*159</f>
        <v>0</v>
      </c>
      <c r="Q30" s="47">
        <v>0</v>
      </c>
      <c r="R30" s="58">
        <f>Q30*159</f>
        <v>0</v>
      </c>
      <c r="S30" s="47">
        <v>0</v>
      </c>
      <c r="T30" s="58">
        <f>S30*159</f>
        <v>0</v>
      </c>
      <c r="U30" s="47">
        <v>0</v>
      </c>
      <c r="V30" s="58">
        <f>U30*159</f>
        <v>0</v>
      </c>
      <c r="W30" s="47">
        <v>0</v>
      </c>
      <c r="X30" s="58">
        <f>W30*159</f>
        <v>0</v>
      </c>
      <c r="Y30" s="47">
        <v>0</v>
      </c>
      <c r="Z30" s="58">
        <f>Y30*159</f>
        <v>0</v>
      </c>
    </row>
    <row r="31" spans="1:26" x14ac:dyDescent="0.3">
      <c r="B31" t="s">
        <v>282</v>
      </c>
      <c r="C31" s="47">
        <v>117</v>
      </c>
      <c r="D31" s="58">
        <f>C31*169</f>
        <v>19773</v>
      </c>
      <c r="E31" s="47">
        <v>117</v>
      </c>
      <c r="F31" s="58">
        <f>E31*169</f>
        <v>19773</v>
      </c>
      <c r="G31" s="47">
        <v>0</v>
      </c>
      <c r="H31" s="58">
        <f>G31*169</f>
        <v>0</v>
      </c>
      <c r="I31" s="47">
        <v>0</v>
      </c>
      <c r="J31" s="58">
        <f>I31*169</f>
        <v>0</v>
      </c>
      <c r="K31" s="47">
        <v>0</v>
      </c>
      <c r="L31" s="58">
        <f>K31*169</f>
        <v>0</v>
      </c>
      <c r="M31" s="47">
        <v>0</v>
      </c>
      <c r="N31" s="58">
        <f>M31*169</f>
        <v>0</v>
      </c>
      <c r="O31" s="47">
        <v>0</v>
      </c>
      <c r="P31" s="58">
        <f>O31*169</f>
        <v>0</v>
      </c>
      <c r="Q31" s="47">
        <v>0</v>
      </c>
      <c r="R31" s="58">
        <f>Q31*169</f>
        <v>0</v>
      </c>
      <c r="S31" s="47">
        <v>0</v>
      </c>
      <c r="T31" s="58">
        <f>S31*169</f>
        <v>0</v>
      </c>
      <c r="U31" s="47">
        <v>0</v>
      </c>
      <c r="V31" s="58">
        <f>U31*169</f>
        <v>0</v>
      </c>
      <c r="W31" s="47">
        <v>0</v>
      </c>
      <c r="X31" s="58">
        <f>W31*169</f>
        <v>0</v>
      </c>
      <c r="Y31" s="47">
        <v>0</v>
      </c>
      <c r="Z31" s="58">
        <f>Y31*169</f>
        <v>0</v>
      </c>
    </row>
    <row r="32" spans="1:26" x14ac:dyDescent="0.3">
      <c r="B32" t="s">
        <v>283</v>
      </c>
      <c r="C32" s="47">
        <v>61</v>
      </c>
      <c r="D32" s="58">
        <f>C32*179</f>
        <v>10919</v>
      </c>
      <c r="E32" s="47">
        <v>61</v>
      </c>
      <c r="F32" s="58">
        <f>E32*179</f>
        <v>10919</v>
      </c>
      <c r="G32" s="47">
        <v>0</v>
      </c>
      <c r="H32" s="58">
        <f>G32*179</f>
        <v>0</v>
      </c>
      <c r="I32" s="47">
        <v>0</v>
      </c>
      <c r="J32" s="58">
        <f>I32*179</f>
        <v>0</v>
      </c>
      <c r="K32" s="47">
        <v>0</v>
      </c>
      <c r="L32" s="58">
        <f>K32*179</f>
        <v>0</v>
      </c>
      <c r="M32" s="47">
        <v>0</v>
      </c>
      <c r="N32" s="58">
        <f>M32*179</f>
        <v>0</v>
      </c>
      <c r="O32" s="47">
        <v>0</v>
      </c>
      <c r="P32" s="58">
        <f>O32*179</f>
        <v>0</v>
      </c>
      <c r="Q32" s="47">
        <v>0</v>
      </c>
      <c r="R32" s="58">
        <f>Q32*179</f>
        <v>0</v>
      </c>
      <c r="S32" s="47">
        <v>0</v>
      </c>
      <c r="T32" s="58">
        <f>S32*179</f>
        <v>0</v>
      </c>
      <c r="U32" s="47">
        <v>0</v>
      </c>
      <c r="V32" s="58">
        <f>U32*179</f>
        <v>0</v>
      </c>
      <c r="W32" s="47">
        <v>0</v>
      </c>
      <c r="X32" s="58">
        <f>W32*179</f>
        <v>0</v>
      </c>
      <c r="Y32" s="47">
        <v>0</v>
      </c>
      <c r="Z32" s="58">
        <f>Y32*179</f>
        <v>0</v>
      </c>
    </row>
    <row r="33" spans="1:26" x14ac:dyDescent="0.3">
      <c r="B33" t="s">
        <v>267</v>
      </c>
      <c r="C33" s="47">
        <v>4</v>
      </c>
      <c r="D33" s="58">
        <f>C33*0</f>
        <v>0</v>
      </c>
      <c r="E33" s="47">
        <v>1</v>
      </c>
      <c r="F33" s="58">
        <f>E33*0</f>
        <v>0</v>
      </c>
      <c r="G33" s="47">
        <v>0</v>
      </c>
      <c r="H33" s="58">
        <f>G33*0</f>
        <v>0</v>
      </c>
      <c r="I33" s="47">
        <v>0</v>
      </c>
      <c r="J33" s="58">
        <f>I33*0</f>
        <v>0</v>
      </c>
      <c r="K33" s="47">
        <v>0</v>
      </c>
      <c r="L33" s="58">
        <f>K33*0</f>
        <v>0</v>
      </c>
      <c r="M33" s="47">
        <v>0</v>
      </c>
      <c r="N33" s="58">
        <f>M33*0</f>
        <v>0</v>
      </c>
      <c r="O33" s="47">
        <v>0</v>
      </c>
      <c r="P33" s="58">
        <f>O33*0</f>
        <v>0</v>
      </c>
      <c r="Q33" s="47">
        <v>0</v>
      </c>
      <c r="R33" s="58">
        <f>Q33*0</f>
        <v>0</v>
      </c>
      <c r="S33" s="47">
        <v>0</v>
      </c>
      <c r="T33" s="58">
        <f>S33*0</f>
        <v>0</v>
      </c>
      <c r="U33" s="47">
        <v>0</v>
      </c>
      <c r="V33" s="58">
        <f>U33*0</f>
        <v>0</v>
      </c>
      <c r="W33" s="47">
        <v>0</v>
      </c>
      <c r="X33" s="58">
        <f>W33*0</f>
        <v>0</v>
      </c>
      <c r="Y33" s="47">
        <v>0</v>
      </c>
      <c r="Z33" s="58">
        <f>Y33*0</f>
        <v>0</v>
      </c>
    </row>
    <row r="34" spans="1:26" x14ac:dyDescent="0.3">
      <c r="C34" s="47"/>
      <c r="D34" s="58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x14ac:dyDescent="0.3">
      <c r="B35" t="s">
        <v>284</v>
      </c>
      <c r="C35" s="47">
        <v>68</v>
      </c>
      <c r="D35" s="58">
        <f>C35*199</f>
        <v>13532</v>
      </c>
      <c r="E35" s="47">
        <v>66</v>
      </c>
      <c r="F35" s="58">
        <f>E35*199</f>
        <v>13134</v>
      </c>
      <c r="G35" s="47">
        <v>0</v>
      </c>
      <c r="H35" s="58">
        <f>G35*199</f>
        <v>0</v>
      </c>
      <c r="I35" s="47">
        <v>0</v>
      </c>
      <c r="J35" s="58">
        <f>I35*199</f>
        <v>0</v>
      </c>
      <c r="K35" s="47">
        <v>0</v>
      </c>
      <c r="L35" s="58">
        <f>K35*199</f>
        <v>0</v>
      </c>
      <c r="M35" s="47">
        <v>0</v>
      </c>
      <c r="N35" s="58">
        <f>M35*199</f>
        <v>0</v>
      </c>
      <c r="O35" s="47">
        <v>0</v>
      </c>
      <c r="P35" s="58">
        <f>O35*199</f>
        <v>0</v>
      </c>
      <c r="Q35" s="47">
        <v>0</v>
      </c>
      <c r="R35" s="58">
        <f>Q35*199</f>
        <v>0</v>
      </c>
      <c r="S35" s="47">
        <v>0</v>
      </c>
      <c r="T35" s="58">
        <f>S35*199</f>
        <v>0</v>
      </c>
      <c r="U35" s="47">
        <v>0</v>
      </c>
      <c r="V35" s="58">
        <f>U35*199</f>
        <v>0</v>
      </c>
      <c r="W35" s="47">
        <v>0</v>
      </c>
      <c r="X35" s="58">
        <f>W35*199</f>
        <v>0</v>
      </c>
      <c r="Y35" s="47">
        <v>0</v>
      </c>
      <c r="Z35" s="58">
        <f>Y35*199</f>
        <v>0</v>
      </c>
    </row>
    <row r="36" spans="1:26" x14ac:dyDescent="0.3">
      <c r="B36" t="s">
        <v>285</v>
      </c>
      <c r="C36" s="47">
        <v>875</v>
      </c>
      <c r="D36" s="58">
        <f>C36*219</f>
        <v>191625</v>
      </c>
      <c r="E36" s="47">
        <v>868</v>
      </c>
      <c r="F36" s="58">
        <f>E36*219</f>
        <v>190092</v>
      </c>
      <c r="G36" s="47">
        <v>0</v>
      </c>
      <c r="H36" s="58">
        <f>G36*219</f>
        <v>0</v>
      </c>
      <c r="I36" s="47">
        <v>0</v>
      </c>
      <c r="J36" s="58">
        <f>I36*219</f>
        <v>0</v>
      </c>
      <c r="K36" s="47">
        <v>0</v>
      </c>
      <c r="L36" s="58">
        <f>K36*219</f>
        <v>0</v>
      </c>
      <c r="M36" s="47">
        <v>0</v>
      </c>
      <c r="N36" s="58">
        <f>M36*219</f>
        <v>0</v>
      </c>
      <c r="O36" s="47">
        <v>0</v>
      </c>
      <c r="P36" s="58">
        <f>O36*219</f>
        <v>0</v>
      </c>
      <c r="Q36" s="47">
        <v>0</v>
      </c>
      <c r="R36" s="58">
        <f>Q36*219</f>
        <v>0</v>
      </c>
      <c r="S36" s="47">
        <v>0</v>
      </c>
      <c r="T36" s="58">
        <f>S36*219</f>
        <v>0</v>
      </c>
      <c r="U36" s="47">
        <v>0</v>
      </c>
      <c r="V36" s="58">
        <f>U36*219</f>
        <v>0</v>
      </c>
      <c r="W36" s="47">
        <v>0</v>
      </c>
      <c r="X36" s="58">
        <f>W36*219</f>
        <v>0</v>
      </c>
      <c r="Y36" s="47">
        <v>0</v>
      </c>
      <c r="Z36" s="58">
        <f>Y36*219</f>
        <v>0</v>
      </c>
    </row>
    <row r="37" spans="1:26" x14ac:dyDescent="0.3">
      <c r="B37" t="s">
        <v>286</v>
      </c>
      <c r="C37" s="47">
        <v>810</v>
      </c>
      <c r="D37" s="58">
        <f>C37*239</f>
        <v>193590</v>
      </c>
      <c r="E37" s="47">
        <v>812</v>
      </c>
      <c r="F37" s="58">
        <f>E37*239</f>
        <v>194068</v>
      </c>
      <c r="G37" s="47">
        <v>0</v>
      </c>
      <c r="H37" s="58">
        <f>G37*239</f>
        <v>0</v>
      </c>
      <c r="I37" s="47">
        <v>0</v>
      </c>
      <c r="J37" s="58">
        <f>I37*239</f>
        <v>0</v>
      </c>
      <c r="K37" s="47">
        <v>0</v>
      </c>
      <c r="L37" s="58">
        <f>K37*239</f>
        <v>0</v>
      </c>
      <c r="M37" s="47">
        <v>0</v>
      </c>
      <c r="N37" s="58">
        <f>M37*239</f>
        <v>0</v>
      </c>
      <c r="O37" s="47">
        <v>0</v>
      </c>
      <c r="P37" s="58">
        <f>O37*239</f>
        <v>0</v>
      </c>
      <c r="Q37" s="47">
        <v>0</v>
      </c>
      <c r="R37" s="58">
        <f>Q37*239</f>
        <v>0</v>
      </c>
      <c r="S37" s="47">
        <v>0</v>
      </c>
      <c r="T37" s="58">
        <f>S37*239</f>
        <v>0</v>
      </c>
      <c r="U37" s="47">
        <v>0</v>
      </c>
      <c r="V37" s="58">
        <f>U37*239</f>
        <v>0</v>
      </c>
      <c r="W37" s="47">
        <v>0</v>
      </c>
      <c r="X37" s="58">
        <f>W37*239</f>
        <v>0</v>
      </c>
      <c r="Y37" s="47">
        <v>0</v>
      </c>
      <c r="Z37" s="58">
        <f>Y37*239</f>
        <v>0</v>
      </c>
    </row>
    <row r="38" spans="1:26" x14ac:dyDescent="0.3">
      <c r="B38" t="s">
        <v>287</v>
      </c>
      <c r="C38" s="47">
        <v>2</v>
      </c>
      <c r="D38" s="58">
        <f>C38*249</f>
        <v>498</v>
      </c>
      <c r="E38" s="47">
        <v>2</v>
      </c>
      <c r="F38" s="58">
        <f>E38*249</f>
        <v>498</v>
      </c>
      <c r="G38" s="47">
        <v>0</v>
      </c>
      <c r="H38" s="58">
        <f>G38*249</f>
        <v>0</v>
      </c>
      <c r="I38" s="47">
        <v>0</v>
      </c>
      <c r="J38" s="58">
        <f>I38*249</f>
        <v>0</v>
      </c>
      <c r="K38" s="47">
        <v>0</v>
      </c>
      <c r="L38" s="58">
        <f>K38*249</f>
        <v>0</v>
      </c>
      <c r="M38" s="47">
        <v>0</v>
      </c>
      <c r="N38" s="58">
        <f>M38*249</f>
        <v>0</v>
      </c>
      <c r="O38" s="47">
        <v>0</v>
      </c>
      <c r="P38" s="58">
        <f>O38*249</f>
        <v>0</v>
      </c>
      <c r="Q38" s="47">
        <v>0</v>
      </c>
      <c r="R38" s="58">
        <f>Q38*249</f>
        <v>0</v>
      </c>
      <c r="S38" s="47">
        <v>0</v>
      </c>
      <c r="T38" s="58">
        <f>S38*249</f>
        <v>0</v>
      </c>
      <c r="U38" s="47">
        <v>0</v>
      </c>
      <c r="V38" s="58">
        <f>U38*249</f>
        <v>0</v>
      </c>
      <c r="W38" s="47">
        <v>0</v>
      </c>
      <c r="X38" s="58">
        <f>W38*249</f>
        <v>0</v>
      </c>
      <c r="Y38" s="47">
        <v>0</v>
      </c>
      <c r="Z38" s="58">
        <f>Y38*249</f>
        <v>0</v>
      </c>
    </row>
    <row r="39" spans="1:26" x14ac:dyDescent="0.3">
      <c r="B39" t="s">
        <v>288</v>
      </c>
      <c r="C39" s="47">
        <v>0</v>
      </c>
      <c r="D39" s="58">
        <f>C39*269</f>
        <v>0</v>
      </c>
      <c r="E39" s="47">
        <v>0</v>
      </c>
      <c r="F39" s="58">
        <f>E39*269</f>
        <v>0</v>
      </c>
      <c r="G39" s="47">
        <v>0</v>
      </c>
      <c r="H39" s="58">
        <f>G39*269</f>
        <v>0</v>
      </c>
      <c r="I39" s="47">
        <v>0</v>
      </c>
      <c r="J39" s="58">
        <f>I39*269</f>
        <v>0</v>
      </c>
      <c r="K39" s="47">
        <v>0</v>
      </c>
      <c r="L39" s="58">
        <f>K39*269</f>
        <v>0</v>
      </c>
      <c r="M39" s="47">
        <v>0</v>
      </c>
      <c r="N39" s="58">
        <f>M39*269</f>
        <v>0</v>
      </c>
      <c r="O39" s="47">
        <v>0</v>
      </c>
      <c r="P39" s="58">
        <f>O39*269</f>
        <v>0</v>
      </c>
      <c r="Q39" s="47">
        <v>0</v>
      </c>
      <c r="R39" s="58">
        <f>Q39*269</f>
        <v>0</v>
      </c>
      <c r="S39" s="47">
        <v>0</v>
      </c>
      <c r="T39" s="58">
        <f>S39*269</f>
        <v>0</v>
      </c>
      <c r="U39" s="47">
        <v>0</v>
      </c>
      <c r="V39" s="58">
        <f>U39*269</f>
        <v>0</v>
      </c>
      <c r="W39" s="47">
        <v>0</v>
      </c>
      <c r="X39" s="58">
        <f>W39*269</f>
        <v>0</v>
      </c>
      <c r="Y39" s="47">
        <v>0</v>
      </c>
      <c r="Z39" s="58">
        <f>Y39*269</f>
        <v>0</v>
      </c>
    </row>
    <row r="40" spans="1:26" x14ac:dyDescent="0.3">
      <c r="B40" t="s">
        <v>289</v>
      </c>
      <c r="C40" s="47">
        <v>1</v>
      </c>
      <c r="D40" s="58">
        <f>C40*289</f>
        <v>289</v>
      </c>
      <c r="E40" s="47">
        <v>1</v>
      </c>
      <c r="F40" s="58">
        <f>E40*289</f>
        <v>289</v>
      </c>
      <c r="G40" s="47">
        <v>0</v>
      </c>
      <c r="H40" s="58">
        <f>G40*289</f>
        <v>0</v>
      </c>
      <c r="I40" s="47">
        <v>0</v>
      </c>
      <c r="J40" s="58">
        <f>I40*289</f>
        <v>0</v>
      </c>
      <c r="K40" s="47">
        <v>0</v>
      </c>
      <c r="L40" s="58">
        <f>K40*289</f>
        <v>0</v>
      </c>
      <c r="M40" s="47">
        <v>0</v>
      </c>
      <c r="N40" s="58">
        <f>M40*289</f>
        <v>0</v>
      </c>
      <c r="O40" s="47">
        <v>0</v>
      </c>
      <c r="P40" s="58">
        <f>O40*289</f>
        <v>0</v>
      </c>
      <c r="Q40" s="47">
        <v>0</v>
      </c>
      <c r="R40" s="58">
        <f>Q40*289</f>
        <v>0</v>
      </c>
      <c r="S40" s="47">
        <v>0</v>
      </c>
      <c r="T40" s="58">
        <f>S40*289</f>
        <v>0</v>
      </c>
      <c r="U40" s="47">
        <v>0</v>
      </c>
      <c r="V40" s="58">
        <f>U40*289</f>
        <v>0</v>
      </c>
      <c r="W40" s="47">
        <v>0</v>
      </c>
      <c r="X40" s="58">
        <f>W40*289</f>
        <v>0</v>
      </c>
      <c r="Y40" s="47">
        <v>0</v>
      </c>
      <c r="Z40" s="58">
        <f>Y40*289</f>
        <v>0</v>
      </c>
    </row>
    <row r="41" spans="1:26" x14ac:dyDescent="0.3">
      <c r="B41" t="s">
        <v>290</v>
      </c>
      <c r="C41" s="47">
        <v>0</v>
      </c>
      <c r="D41" s="58">
        <f>C41*309</f>
        <v>0</v>
      </c>
      <c r="E41" s="47">
        <v>0</v>
      </c>
      <c r="F41" s="58">
        <f>E41*309</f>
        <v>0</v>
      </c>
      <c r="G41" s="47">
        <v>0</v>
      </c>
      <c r="H41" s="58">
        <f>G41*309</f>
        <v>0</v>
      </c>
      <c r="I41" s="47">
        <v>0</v>
      </c>
      <c r="J41" s="58">
        <f>I41*309</f>
        <v>0</v>
      </c>
      <c r="K41" s="47">
        <v>0</v>
      </c>
      <c r="L41" s="58">
        <f>K41*309</f>
        <v>0</v>
      </c>
      <c r="M41" s="47">
        <v>0</v>
      </c>
      <c r="N41" s="58">
        <f>M41*309</f>
        <v>0</v>
      </c>
      <c r="O41" s="47">
        <v>0</v>
      </c>
      <c r="P41" s="58">
        <f>O41*309</f>
        <v>0</v>
      </c>
      <c r="Q41" s="47">
        <v>0</v>
      </c>
      <c r="R41" s="58">
        <f>Q41*309</f>
        <v>0</v>
      </c>
      <c r="S41" s="47">
        <v>0</v>
      </c>
      <c r="T41" s="58">
        <f>S41*309</f>
        <v>0</v>
      </c>
      <c r="U41" s="47">
        <v>0</v>
      </c>
      <c r="V41" s="58">
        <f>U41*309</f>
        <v>0</v>
      </c>
      <c r="W41" s="47">
        <v>0</v>
      </c>
      <c r="X41" s="58">
        <f>W41*309</f>
        <v>0</v>
      </c>
      <c r="Y41" s="47">
        <v>0</v>
      </c>
      <c r="Z41" s="58">
        <f>Y41*309</f>
        <v>0</v>
      </c>
    </row>
    <row r="42" spans="1:26" x14ac:dyDescent="0.3">
      <c r="B42" t="s">
        <v>268</v>
      </c>
      <c r="C42" s="47">
        <v>1</v>
      </c>
      <c r="D42" s="58">
        <f>C42*0</f>
        <v>0</v>
      </c>
      <c r="E42" s="47">
        <v>0</v>
      </c>
      <c r="F42" s="58">
        <f>E42*0</f>
        <v>0</v>
      </c>
      <c r="G42" s="47">
        <v>0</v>
      </c>
      <c r="H42" s="58">
        <f>G42*0</f>
        <v>0</v>
      </c>
      <c r="I42" s="47">
        <v>0</v>
      </c>
      <c r="J42" s="58">
        <f>I42*0</f>
        <v>0</v>
      </c>
      <c r="K42" s="47">
        <v>0</v>
      </c>
      <c r="L42" s="58">
        <f>K42*0</f>
        <v>0</v>
      </c>
      <c r="M42" s="47">
        <v>0</v>
      </c>
      <c r="N42" s="58">
        <f>M42*0</f>
        <v>0</v>
      </c>
      <c r="O42" s="47">
        <v>0</v>
      </c>
      <c r="P42" s="58">
        <f>O42*0</f>
        <v>0</v>
      </c>
      <c r="Q42" s="47">
        <v>0</v>
      </c>
      <c r="R42" s="58">
        <f>Q42*0</f>
        <v>0</v>
      </c>
      <c r="S42" s="47">
        <v>0</v>
      </c>
      <c r="T42" s="58">
        <f>S42*0</f>
        <v>0</v>
      </c>
      <c r="U42" s="47">
        <v>0</v>
      </c>
      <c r="V42" s="58">
        <f>U42*0</f>
        <v>0</v>
      </c>
      <c r="W42" s="47">
        <v>0</v>
      </c>
      <c r="X42" s="58">
        <f>W42*0</f>
        <v>0</v>
      </c>
      <c r="Y42" s="47">
        <v>0</v>
      </c>
      <c r="Z42" s="58">
        <f>Y42*0</f>
        <v>0</v>
      </c>
    </row>
    <row r="43" spans="1:26" x14ac:dyDescent="0.3">
      <c r="C43" s="47"/>
      <c r="D43" s="58"/>
      <c r="E43" s="47"/>
      <c r="F43" s="58"/>
      <c r="G43" s="47"/>
      <c r="H43" s="58"/>
      <c r="I43" s="47"/>
      <c r="J43" s="58"/>
      <c r="K43" s="47"/>
      <c r="L43" s="58"/>
      <c r="M43" s="47"/>
      <c r="N43" s="58"/>
      <c r="O43" s="47"/>
      <c r="P43" s="58"/>
      <c r="Q43" s="47"/>
      <c r="R43" s="58"/>
      <c r="S43" s="47"/>
      <c r="T43" s="58"/>
      <c r="U43" s="47"/>
      <c r="V43" s="58"/>
      <c r="W43" s="47"/>
      <c r="X43" s="58"/>
      <c r="Y43" s="47"/>
      <c r="Z43" s="58"/>
    </row>
    <row r="44" spans="1:26" ht="15" thickBot="1" x14ac:dyDescent="0.35">
      <c r="B44" t="s">
        <v>269</v>
      </c>
      <c r="C44" s="59">
        <f t="shared" ref="C44:Y44" si="0">SUM(C24:C42)</f>
        <v>6069</v>
      </c>
      <c r="D44" s="60">
        <f>SUM(D24:D42)</f>
        <v>1030836</v>
      </c>
      <c r="E44" s="59">
        <f t="shared" si="0"/>
        <v>6019</v>
      </c>
      <c r="F44" s="60">
        <f>SUM(F24:F42)</f>
        <v>1023842</v>
      </c>
      <c r="G44" s="59">
        <f t="shared" si="0"/>
        <v>0</v>
      </c>
      <c r="H44" s="60">
        <f>SUM(H24:H42)</f>
        <v>0</v>
      </c>
      <c r="I44" s="59">
        <f t="shared" si="0"/>
        <v>0</v>
      </c>
      <c r="J44" s="60">
        <f>SUM(J24:J42)</f>
        <v>0</v>
      </c>
      <c r="K44" s="59">
        <f>SUM(K24:K42)</f>
        <v>0</v>
      </c>
      <c r="L44" s="60">
        <f>SUM(L24:L42)</f>
        <v>0</v>
      </c>
      <c r="M44" s="59">
        <f t="shared" si="0"/>
        <v>0</v>
      </c>
      <c r="N44" s="60">
        <f>SUM(N24:N42)</f>
        <v>0</v>
      </c>
      <c r="O44" s="59">
        <f t="shared" si="0"/>
        <v>0</v>
      </c>
      <c r="P44" s="60">
        <f>SUM(P24:P42)</f>
        <v>0</v>
      </c>
      <c r="Q44" s="59">
        <f t="shared" si="0"/>
        <v>0</v>
      </c>
      <c r="R44" s="60">
        <f>SUM(R24:R42)</f>
        <v>0</v>
      </c>
      <c r="S44" s="59">
        <f t="shared" si="0"/>
        <v>0</v>
      </c>
      <c r="T44" s="60">
        <f>SUM(T24:T42)</f>
        <v>0</v>
      </c>
      <c r="U44" s="59">
        <f t="shared" si="0"/>
        <v>0</v>
      </c>
      <c r="V44" s="60">
        <f>SUM(V24:V42)</f>
        <v>0</v>
      </c>
      <c r="W44" s="59">
        <f t="shared" si="0"/>
        <v>0</v>
      </c>
      <c r="X44" s="60">
        <f>SUM(X24:X42)</f>
        <v>0</v>
      </c>
      <c r="Y44" s="59">
        <f t="shared" si="0"/>
        <v>0</v>
      </c>
      <c r="Z44" s="60">
        <f>SUM(Z24:Z42)</f>
        <v>0</v>
      </c>
    </row>
    <row r="45" spans="1:26" ht="15" thickTop="1" x14ac:dyDescent="0.3">
      <c r="C45" s="47"/>
      <c r="D45" s="58"/>
      <c r="E45" s="47"/>
      <c r="F45" s="58"/>
      <c r="G45" s="47"/>
      <c r="H45" s="58"/>
      <c r="I45" s="47"/>
      <c r="J45" s="58"/>
      <c r="K45" s="47"/>
      <c r="L45" s="58"/>
      <c r="M45" s="47"/>
      <c r="N45" s="58"/>
      <c r="O45" s="47"/>
      <c r="P45" s="58"/>
      <c r="Q45" s="47"/>
      <c r="R45" s="58"/>
      <c r="S45" s="47"/>
      <c r="T45" s="58"/>
      <c r="U45" s="47"/>
      <c r="V45" s="58"/>
      <c r="W45" s="47"/>
      <c r="X45" s="58"/>
      <c r="Y45" s="47"/>
      <c r="Z45" s="58"/>
    </row>
    <row r="46" spans="1:26" ht="15" thickBot="1" x14ac:dyDescent="0.35">
      <c r="B46" t="s">
        <v>270</v>
      </c>
      <c r="C46" s="47"/>
      <c r="D46" s="64">
        <f>D44/C44</f>
        <v>169.85269401878398</v>
      </c>
      <c r="E46" s="47"/>
      <c r="F46" s="64">
        <f>F44/E44</f>
        <v>170.10167801960458</v>
      </c>
      <c r="G46" s="47"/>
      <c r="H46" s="64" t="e">
        <f>H44/G44</f>
        <v>#DIV/0!</v>
      </c>
      <c r="I46" s="47"/>
      <c r="J46" s="64" t="e">
        <f>J44/I44</f>
        <v>#DIV/0!</v>
      </c>
      <c r="K46" s="47"/>
      <c r="L46" s="64" t="e">
        <f>L44/K44</f>
        <v>#DIV/0!</v>
      </c>
      <c r="M46" s="47"/>
      <c r="N46" s="64" t="e">
        <f>N44/M44</f>
        <v>#DIV/0!</v>
      </c>
      <c r="O46" s="47"/>
      <c r="P46" s="64" t="e">
        <f>P44/O44</f>
        <v>#DIV/0!</v>
      </c>
      <c r="Q46" s="47"/>
      <c r="R46" s="64" t="e">
        <f>R44/Q44</f>
        <v>#DIV/0!</v>
      </c>
      <c r="S46" s="47"/>
      <c r="T46" s="64" t="e">
        <f>T44/S44</f>
        <v>#DIV/0!</v>
      </c>
      <c r="U46" s="47"/>
      <c r="V46" s="64" t="e">
        <f>V44/U44</f>
        <v>#DIV/0!</v>
      </c>
      <c r="W46" s="47"/>
      <c r="X46" s="64" t="e">
        <f>X44/W44</f>
        <v>#DIV/0!</v>
      </c>
      <c r="Y46" s="47"/>
      <c r="Z46" s="64" t="e">
        <f>Z44/Y44</f>
        <v>#DIV/0!</v>
      </c>
    </row>
    <row r="47" spans="1:26" ht="15" thickTop="1" x14ac:dyDescent="0.3">
      <c r="C47" s="47"/>
      <c r="D47" s="63"/>
      <c r="E47" s="47"/>
      <c r="F47" s="63"/>
      <c r="G47" s="47"/>
      <c r="H47" s="63"/>
      <c r="I47" s="47"/>
      <c r="J47" s="63"/>
      <c r="K47" s="47"/>
      <c r="L47" s="63"/>
      <c r="M47" s="47"/>
      <c r="N47" s="63"/>
      <c r="O47" s="47"/>
      <c r="P47" s="63"/>
      <c r="Q47" s="47"/>
      <c r="R47" s="63"/>
      <c r="S47" s="47"/>
      <c r="T47" s="63"/>
      <c r="U47" s="47"/>
      <c r="V47" s="63"/>
      <c r="W47" s="47"/>
      <c r="X47" s="63"/>
      <c r="Y47" s="47"/>
      <c r="Z47" s="63"/>
    </row>
    <row r="48" spans="1:26" ht="15" thickBot="1" x14ac:dyDescent="0.35">
      <c r="A48" s="65"/>
      <c r="B48" s="65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5" thickBot="1" x14ac:dyDescent="0.35">
      <c r="A49" s="54" t="s">
        <v>271</v>
      </c>
      <c r="B49" s="55"/>
      <c r="C49" s="56" t="s">
        <v>262</v>
      </c>
      <c r="D49" s="57" t="s">
        <v>263</v>
      </c>
      <c r="E49" s="56" t="s">
        <v>262</v>
      </c>
      <c r="F49" s="57" t="s">
        <v>263</v>
      </c>
      <c r="G49" s="56" t="s">
        <v>262</v>
      </c>
      <c r="H49" s="57" t="s">
        <v>263</v>
      </c>
      <c r="I49" s="56" t="s">
        <v>262</v>
      </c>
      <c r="J49" s="57" t="s">
        <v>263</v>
      </c>
      <c r="K49" s="56" t="s">
        <v>262</v>
      </c>
      <c r="L49" s="57" t="s">
        <v>263</v>
      </c>
      <c r="M49" s="56" t="s">
        <v>262</v>
      </c>
      <c r="N49" s="57" t="s">
        <v>263</v>
      </c>
      <c r="O49" s="56" t="s">
        <v>262</v>
      </c>
      <c r="P49" s="57" t="s">
        <v>263</v>
      </c>
      <c r="Q49" s="56" t="s">
        <v>262</v>
      </c>
      <c r="R49" s="57" t="s">
        <v>263</v>
      </c>
      <c r="S49" s="56" t="s">
        <v>262</v>
      </c>
      <c r="T49" s="57" t="s">
        <v>263</v>
      </c>
      <c r="U49" s="56" t="s">
        <v>262</v>
      </c>
      <c r="V49" s="57" t="s">
        <v>263</v>
      </c>
      <c r="W49" s="56" t="s">
        <v>262</v>
      </c>
      <c r="X49" s="57" t="s">
        <v>263</v>
      </c>
      <c r="Y49" s="56" t="s">
        <v>262</v>
      </c>
      <c r="Z49" s="57" t="s">
        <v>263</v>
      </c>
    </row>
    <row r="50" spans="1:26" x14ac:dyDescent="0.3">
      <c r="B50" t="s">
        <v>272</v>
      </c>
      <c r="C50" s="47">
        <v>265</v>
      </c>
      <c r="D50" s="58">
        <v>63424</v>
      </c>
      <c r="E50" s="47">
        <v>355</v>
      </c>
      <c r="F50" s="58">
        <v>63425</v>
      </c>
      <c r="G50" s="47">
        <v>0</v>
      </c>
      <c r="H50" s="58">
        <v>0</v>
      </c>
      <c r="I50" s="47">
        <v>0</v>
      </c>
      <c r="J50" s="58">
        <v>0</v>
      </c>
      <c r="K50" s="47">
        <v>0</v>
      </c>
      <c r="L50" s="58">
        <v>0</v>
      </c>
      <c r="M50" s="47">
        <v>0</v>
      </c>
      <c r="N50" s="58">
        <v>0</v>
      </c>
      <c r="O50" s="47">
        <v>0</v>
      </c>
      <c r="P50" s="58">
        <v>0</v>
      </c>
      <c r="Q50" s="47">
        <v>0</v>
      </c>
      <c r="R50" s="58">
        <v>0</v>
      </c>
      <c r="S50" s="47">
        <v>0</v>
      </c>
      <c r="T50" s="58">
        <v>0</v>
      </c>
      <c r="U50" s="47">
        <v>0</v>
      </c>
      <c r="V50" s="58">
        <v>0</v>
      </c>
      <c r="W50" s="47">
        <v>0</v>
      </c>
      <c r="X50" s="58">
        <v>0</v>
      </c>
      <c r="Y50" s="47">
        <v>0</v>
      </c>
      <c r="Z50" s="58">
        <v>0</v>
      </c>
    </row>
    <row r="51" spans="1:26" x14ac:dyDescent="0.3">
      <c r="B51" t="s">
        <v>273</v>
      </c>
      <c r="C51" s="47">
        <v>1846</v>
      </c>
      <c r="D51" s="58">
        <v>291494</v>
      </c>
      <c r="E51" s="47">
        <v>1812</v>
      </c>
      <c r="F51" s="58">
        <v>286248</v>
      </c>
      <c r="G51" s="47">
        <v>0</v>
      </c>
      <c r="H51" s="58">
        <v>0</v>
      </c>
      <c r="I51" s="47">
        <v>0</v>
      </c>
      <c r="J51" s="58">
        <v>0</v>
      </c>
      <c r="K51" s="47">
        <v>0</v>
      </c>
      <c r="L51" s="58">
        <v>0</v>
      </c>
      <c r="M51" s="47">
        <v>0</v>
      </c>
      <c r="N51" s="58">
        <v>0</v>
      </c>
      <c r="O51" s="47">
        <v>0</v>
      </c>
      <c r="P51" s="58">
        <v>0</v>
      </c>
      <c r="Q51" s="47">
        <v>0</v>
      </c>
      <c r="R51" s="58">
        <v>0</v>
      </c>
      <c r="S51" s="47">
        <v>0</v>
      </c>
      <c r="T51" s="58">
        <v>0</v>
      </c>
      <c r="U51" s="47">
        <v>0</v>
      </c>
      <c r="V51" s="58">
        <v>0</v>
      </c>
      <c r="W51" s="47">
        <v>0</v>
      </c>
      <c r="X51" s="58">
        <v>0</v>
      </c>
      <c r="Y51" s="47">
        <v>0</v>
      </c>
      <c r="Z51" s="58">
        <v>0</v>
      </c>
    </row>
    <row r="52" spans="1:26" x14ac:dyDescent="0.3">
      <c r="B52" t="s">
        <v>274</v>
      </c>
      <c r="C52" s="47">
        <v>487</v>
      </c>
      <c r="D52" s="58">
        <v>116663</v>
      </c>
      <c r="E52" s="47">
        <v>486</v>
      </c>
      <c r="F52" s="58">
        <v>116594</v>
      </c>
      <c r="G52" s="47">
        <v>0</v>
      </c>
      <c r="H52" s="58">
        <v>0</v>
      </c>
      <c r="I52" s="47">
        <v>0</v>
      </c>
      <c r="J52" s="58">
        <v>0</v>
      </c>
      <c r="K52" s="47">
        <v>0</v>
      </c>
      <c r="L52" s="58">
        <v>0</v>
      </c>
      <c r="M52" s="47">
        <v>0</v>
      </c>
      <c r="N52" s="58">
        <v>0</v>
      </c>
      <c r="O52" s="47">
        <v>0</v>
      </c>
      <c r="P52" s="58">
        <v>0</v>
      </c>
      <c r="Q52" s="47">
        <v>0</v>
      </c>
      <c r="R52" s="58">
        <v>0</v>
      </c>
      <c r="S52" s="47">
        <v>0</v>
      </c>
      <c r="T52" s="58">
        <v>0</v>
      </c>
      <c r="U52" s="47">
        <v>0</v>
      </c>
      <c r="V52" s="58">
        <v>0</v>
      </c>
      <c r="W52" s="47">
        <v>0</v>
      </c>
      <c r="X52" s="58">
        <v>0</v>
      </c>
      <c r="Y52" s="47">
        <v>0</v>
      </c>
      <c r="Z52" s="58">
        <v>0</v>
      </c>
    </row>
    <row r="53" spans="1:26" x14ac:dyDescent="0.3">
      <c r="B53" t="s">
        <v>275</v>
      </c>
      <c r="C53" s="47">
        <v>645</v>
      </c>
      <c r="D53" s="58">
        <v>115455</v>
      </c>
      <c r="E53" s="47">
        <v>634</v>
      </c>
      <c r="F53" s="58">
        <v>113486</v>
      </c>
      <c r="G53" s="47">
        <v>0</v>
      </c>
      <c r="H53" s="58">
        <v>0</v>
      </c>
      <c r="I53" s="47">
        <v>0</v>
      </c>
      <c r="J53" s="58">
        <v>0</v>
      </c>
      <c r="K53" s="47">
        <v>0</v>
      </c>
      <c r="L53" s="58">
        <v>0</v>
      </c>
      <c r="M53" s="47">
        <v>0</v>
      </c>
      <c r="N53" s="58">
        <v>0</v>
      </c>
      <c r="O53" s="47">
        <v>0</v>
      </c>
      <c r="P53" s="58">
        <v>0</v>
      </c>
      <c r="Q53" s="47">
        <v>0</v>
      </c>
      <c r="R53" s="58">
        <v>0</v>
      </c>
      <c r="S53" s="47">
        <v>0</v>
      </c>
      <c r="T53" s="58">
        <v>0</v>
      </c>
      <c r="U53" s="47">
        <v>0</v>
      </c>
      <c r="V53" s="58">
        <v>0</v>
      </c>
      <c r="W53" s="47">
        <v>0</v>
      </c>
      <c r="X53" s="58">
        <v>0</v>
      </c>
      <c r="Y53" s="47">
        <v>0</v>
      </c>
      <c r="Z53" s="58">
        <v>0</v>
      </c>
    </row>
    <row r="54" spans="1:26" x14ac:dyDescent="0.3">
      <c r="B54" t="s">
        <v>276</v>
      </c>
      <c r="C54" s="47">
        <v>67</v>
      </c>
      <c r="D54" s="58">
        <v>11993</v>
      </c>
      <c r="E54" s="47">
        <v>69</v>
      </c>
      <c r="F54" s="58">
        <v>12351</v>
      </c>
      <c r="G54" s="47">
        <v>0</v>
      </c>
      <c r="H54" s="58">
        <v>0</v>
      </c>
      <c r="I54" s="47">
        <v>0</v>
      </c>
      <c r="J54" s="58">
        <v>0</v>
      </c>
      <c r="K54" s="47">
        <v>0</v>
      </c>
      <c r="L54" s="58">
        <v>0</v>
      </c>
      <c r="M54" s="47">
        <v>0</v>
      </c>
      <c r="N54" s="58">
        <v>0</v>
      </c>
      <c r="O54" s="47">
        <v>0</v>
      </c>
      <c r="P54" s="58">
        <v>0</v>
      </c>
      <c r="Q54" s="47">
        <v>0</v>
      </c>
      <c r="R54" s="58">
        <v>0</v>
      </c>
      <c r="S54" s="47">
        <v>0</v>
      </c>
      <c r="T54" s="58">
        <v>0</v>
      </c>
      <c r="U54" s="47">
        <v>0</v>
      </c>
      <c r="V54" s="58">
        <v>0</v>
      </c>
      <c r="W54" s="47">
        <v>0</v>
      </c>
      <c r="X54" s="58">
        <v>0</v>
      </c>
      <c r="Y54" s="47">
        <v>0</v>
      </c>
      <c r="Z54" s="58">
        <v>0</v>
      </c>
    </row>
    <row r="55" spans="1:26" x14ac:dyDescent="0.3">
      <c r="C55" s="47"/>
      <c r="D55" s="58"/>
      <c r="E55" s="47"/>
      <c r="F55" s="58"/>
      <c r="G55" s="47"/>
      <c r="H55" s="58"/>
      <c r="I55" s="47"/>
      <c r="J55" s="58"/>
      <c r="K55" s="47"/>
      <c r="L55" s="58"/>
      <c r="M55" s="47"/>
      <c r="N55" s="58"/>
      <c r="O55" s="47"/>
      <c r="P55" s="58"/>
      <c r="Q55" s="47"/>
      <c r="R55" s="58"/>
      <c r="S55" s="47"/>
      <c r="T55" s="58"/>
      <c r="U55" s="47"/>
      <c r="V55" s="58"/>
      <c r="W55" s="47"/>
      <c r="X55" s="58"/>
      <c r="Y55" s="47"/>
      <c r="Z55" s="58"/>
    </row>
    <row r="56" spans="1:26" ht="15" thickBot="1" x14ac:dyDescent="0.35">
      <c r="B56" t="s">
        <v>269</v>
      </c>
      <c r="C56" s="59">
        <f t="shared" ref="C56:Z56" si="1">SUM(C50:C55)</f>
        <v>3310</v>
      </c>
      <c r="D56" s="60">
        <f t="shared" si="1"/>
        <v>599029</v>
      </c>
      <c r="E56" s="59">
        <f t="shared" si="1"/>
        <v>3356</v>
      </c>
      <c r="F56" s="60">
        <f t="shared" si="1"/>
        <v>592104</v>
      </c>
      <c r="G56" s="59">
        <f t="shared" si="1"/>
        <v>0</v>
      </c>
      <c r="H56" s="60">
        <f t="shared" si="1"/>
        <v>0</v>
      </c>
      <c r="I56" s="59">
        <f t="shared" si="1"/>
        <v>0</v>
      </c>
      <c r="J56" s="60">
        <f t="shared" si="1"/>
        <v>0</v>
      </c>
      <c r="K56" s="59">
        <f>SUM(K50:K55)</f>
        <v>0</v>
      </c>
      <c r="L56" s="60">
        <f t="shared" si="1"/>
        <v>0</v>
      </c>
      <c r="M56" s="59">
        <f t="shared" si="1"/>
        <v>0</v>
      </c>
      <c r="N56" s="60">
        <f t="shared" si="1"/>
        <v>0</v>
      </c>
      <c r="O56" s="59">
        <f t="shared" si="1"/>
        <v>0</v>
      </c>
      <c r="P56" s="60">
        <f t="shared" si="1"/>
        <v>0</v>
      </c>
      <c r="Q56" s="59">
        <f t="shared" si="1"/>
        <v>0</v>
      </c>
      <c r="R56" s="60">
        <f t="shared" si="1"/>
        <v>0</v>
      </c>
      <c r="S56" s="59">
        <f t="shared" si="1"/>
        <v>0</v>
      </c>
      <c r="T56" s="60">
        <f t="shared" si="1"/>
        <v>0</v>
      </c>
      <c r="U56" s="59">
        <f t="shared" si="1"/>
        <v>0</v>
      </c>
      <c r="V56" s="60">
        <f t="shared" si="1"/>
        <v>0</v>
      </c>
      <c r="W56" s="59">
        <f t="shared" si="1"/>
        <v>0</v>
      </c>
      <c r="X56" s="60">
        <f t="shared" si="1"/>
        <v>0</v>
      </c>
      <c r="Y56" s="59">
        <f t="shared" si="1"/>
        <v>0</v>
      </c>
      <c r="Z56" s="60">
        <f t="shared" si="1"/>
        <v>0</v>
      </c>
    </row>
    <row r="57" spans="1:26" ht="15" thickTop="1" x14ac:dyDescent="0.3">
      <c r="C57" s="61"/>
      <c r="D57" s="62"/>
      <c r="E57" s="61"/>
      <c r="F57" s="62"/>
      <c r="G57" s="61"/>
      <c r="H57" s="62"/>
      <c r="I57" s="61"/>
      <c r="J57" s="62"/>
      <c r="K57" s="61"/>
      <c r="L57" s="62"/>
      <c r="M57" s="61"/>
      <c r="N57" s="62"/>
      <c r="O57" s="61"/>
      <c r="P57" s="62"/>
      <c r="Q57" s="61"/>
      <c r="R57" s="62"/>
      <c r="S57" s="61"/>
      <c r="T57" s="62"/>
      <c r="U57" s="61"/>
      <c r="V57" s="62"/>
      <c r="W57" s="61"/>
      <c r="X57" s="62"/>
      <c r="Y57" s="61"/>
      <c r="Z57" s="62"/>
    </row>
    <row r="58" spans="1:26" ht="15" thickBot="1" x14ac:dyDescent="0.35">
      <c r="B58" t="s">
        <v>270</v>
      </c>
      <c r="C58" s="61"/>
      <c r="D58" s="60">
        <f>D56/C56</f>
        <v>180.97552870090635</v>
      </c>
      <c r="E58" s="61"/>
      <c r="F58" s="60">
        <f>F56/E56</f>
        <v>176.43146603098927</v>
      </c>
      <c r="G58" s="61"/>
      <c r="H58" s="60" t="e">
        <f>H56/G56</f>
        <v>#DIV/0!</v>
      </c>
      <c r="I58" s="61"/>
      <c r="J58" s="60" t="e">
        <f>J56/I56</f>
        <v>#DIV/0!</v>
      </c>
      <c r="K58" s="61"/>
      <c r="L58" s="60" t="e">
        <f>L56/K56</f>
        <v>#DIV/0!</v>
      </c>
      <c r="M58" s="61"/>
      <c r="N58" s="60" t="e">
        <f>N56/M56</f>
        <v>#DIV/0!</v>
      </c>
      <c r="O58" s="61"/>
      <c r="P58" s="60" t="e">
        <f>P56/O56</f>
        <v>#DIV/0!</v>
      </c>
      <c r="Q58" s="61"/>
      <c r="R58" s="60" t="e">
        <f>R56/Q56</f>
        <v>#DIV/0!</v>
      </c>
      <c r="S58" s="61"/>
      <c r="T58" s="60" t="e">
        <f>T56/S56</f>
        <v>#DIV/0!</v>
      </c>
      <c r="U58" s="61"/>
      <c r="V58" s="60" t="e">
        <f>V56/U56</f>
        <v>#DIV/0!</v>
      </c>
      <c r="W58" s="61"/>
      <c r="X58" s="60" t="e">
        <f>X56/W56</f>
        <v>#DIV/0!</v>
      </c>
      <c r="Y58" s="61"/>
      <c r="Z58" s="60" t="e">
        <f>Z56/Y56</f>
        <v>#DIV/0!</v>
      </c>
    </row>
    <row r="59" spans="1:26" ht="15" thickTop="1" x14ac:dyDescent="0.3">
      <c r="C59" s="47"/>
      <c r="D59" s="63"/>
      <c r="E59" s="47"/>
      <c r="F59" s="63"/>
      <c r="G59" s="47"/>
      <c r="H59" s="63"/>
      <c r="I59" s="47"/>
      <c r="J59" s="63"/>
      <c r="K59" s="47"/>
      <c r="L59" s="63"/>
      <c r="M59" s="47"/>
      <c r="N59" s="63"/>
      <c r="O59" s="47"/>
      <c r="P59" s="63"/>
      <c r="Q59" s="47"/>
      <c r="R59" s="63"/>
      <c r="S59" s="47"/>
      <c r="T59" s="63"/>
      <c r="U59" s="47"/>
      <c r="V59" s="63"/>
      <c r="W59" s="47"/>
      <c r="X59" s="63"/>
      <c r="Y59" s="47"/>
      <c r="Z59" s="63"/>
    </row>
    <row r="60" spans="1:26" x14ac:dyDescent="0.3">
      <c r="A60" s="66"/>
      <c r="B60" s="66"/>
      <c r="C60" s="67"/>
      <c r="D60" s="68"/>
      <c r="E60" s="67"/>
      <c r="F60" s="68"/>
      <c r="G60" s="67"/>
      <c r="H60" s="68"/>
      <c r="I60" s="67"/>
      <c r="J60" s="68"/>
      <c r="K60" s="67"/>
      <c r="L60" s="68"/>
      <c r="M60" s="67"/>
      <c r="N60" s="68"/>
      <c r="O60" s="67"/>
      <c r="P60" s="68"/>
      <c r="Q60" s="67"/>
      <c r="R60" s="68"/>
      <c r="S60" s="67"/>
      <c r="T60" s="68"/>
      <c r="U60" s="67"/>
      <c r="V60" s="68"/>
      <c r="W60" s="67"/>
      <c r="X60" s="68"/>
      <c r="Y60" s="67"/>
      <c r="Z60" s="68"/>
    </row>
    <row r="61" spans="1:26" ht="15" thickBot="1" x14ac:dyDescent="0.35">
      <c r="A61" s="44" t="s">
        <v>277</v>
      </c>
      <c r="B61" s="44"/>
      <c r="C61" s="56" t="s">
        <v>262</v>
      </c>
      <c r="D61" s="57" t="s">
        <v>263</v>
      </c>
      <c r="E61" s="56" t="s">
        <v>262</v>
      </c>
      <c r="F61" s="57" t="s">
        <v>263</v>
      </c>
      <c r="G61" s="56" t="s">
        <v>262</v>
      </c>
      <c r="H61" s="57" t="s">
        <v>263</v>
      </c>
      <c r="I61" s="56" t="s">
        <v>262</v>
      </c>
      <c r="J61" s="57" t="s">
        <v>263</v>
      </c>
      <c r="K61" s="56" t="s">
        <v>262</v>
      </c>
      <c r="L61" s="57" t="s">
        <v>263</v>
      </c>
      <c r="M61" s="56" t="s">
        <v>262</v>
      </c>
      <c r="N61" s="57" t="s">
        <v>263</v>
      </c>
      <c r="O61" s="56" t="s">
        <v>262</v>
      </c>
      <c r="P61" s="57" t="s">
        <v>263</v>
      </c>
      <c r="Q61" s="56" t="s">
        <v>262</v>
      </c>
      <c r="R61" s="57" t="s">
        <v>263</v>
      </c>
      <c r="S61" s="56" t="s">
        <v>262</v>
      </c>
      <c r="T61" s="57" t="s">
        <v>263</v>
      </c>
      <c r="U61" s="56" t="s">
        <v>262</v>
      </c>
      <c r="V61" s="57" t="s">
        <v>263</v>
      </c>
      <c r="W61" s="56" t="s">
        <v>262</v>
      </c>
      <c r="X61" s="57" t="s">
        <v>263</v>
      </c>
      <c r="Y61" s="56" t="s">
        <v>262</v>
      </c>
      <c r="Z61" s="57" t="s">
        <v>263</v>
      </c>
    </row>
    <row r="62" spans="1:26" x14ac:dyDescent="0.3">
      <c r="B62" t="s">
        <v>269</v>
      </c>
      <c r="C62" s="47">
        <f t="shared" ref="C62:Z62" si="2">C56+C44</f>
        <v>9379</v>
      </c>
      <c r="D62" s="58">
        <f>D56+D44</f>
        <v>1629865</v>
      </c>
      <c r="E62" s="47">
        <f t="shared" si="2"/>
        <v>9375</v>
      </c>
      <c r="F62" s="58">
        <f t="shared" si="2"/>
        <v>1615946</v>
      </c>
      <c r="G62" s="47">
        <f t="shared" si="2"/>
        <v>0</v>
      </c>
      <c r="H62" s="58">
        <f t="shared" si="2"/>
        <v>0</v>
      </c>
      <c r="I62" s="47">
        <f t="shared" si="2"/>
        <v>0</v>
      </c>
      <c r="J62" s="58">
        <f t="shared" si="2"/>
        <v>0</v>
      </c>
      <c r="K62" s="47">
        <f t="shared" si="2"/>
        <v>0</v>
      </c>
      <c r="L62" s="58">
        <f t="shared" si="2"/>
        <v>0</v>
      </c>
      <c r="M62" s="47">
        <f t="shared" si="2"/>
        <v>0</v>
      </c>
      <c r="N62" s="58">
        <f t="shared" si="2"/>
        <v>0</v>
      </c>
      <c r="O62" s="47">
        <f t="shared" si="2"/>
        <v>0</v>
      </c>
      <c r="P62" s="58">
        <f t="shared" si="2"/>
        <v>0</v>
      </c>
      <c r="Q62" s="47">
        <f t="shared" si="2"/>
        <v>0</v>
      </c>
      <c r="R62" s="58">
        <f t="shared" si="2"/>
        <v>0</v>
      </c>
      <c r="S62" s="47">
        <f t="shared" si="2"/>
        <v>0</v>
      </c>
      <c r="T62" s="58">
        <f t="shared" si="2"/>
        <v>0</v>
      </c>
      <c r="U62" s="47">
        <f t="shared" si="2"/>
        <v>0</v>
      </c>
      <c r="V62" s="58">
        <f t="shared" si="2"/>
        <v>0</v>
      </c>
      <c r="W62" s="47">
        <f t="shared" si="2"/>
        <v>0</v>
      </c>
      <c r="X62" s="58">
        <f t="shared" si="2"/>
        <v>0</v>
      </c>
      <c r="Y62" s="47">
        <f t="shared" si="2"/>
        <v>0</v>
      </c>
      <c r="Z62" s="58">
        <f t="shared" si="2"/>
        <v>0</v>
      </c>
    </row>
    <row r="63" spans="1:26" ht="15" thickBot="1" x14ac:dyDescent="0.35">
      <c r="A63" s="69"/>
      <c r="B63" s="69" t="s">
        <v>270</v>
      </c>
      <c r="C63" s="71"/>
      <c r="D63" s="70">
        <f>D62/C62</f>
        <v>173.77812133489712</v>
      </c>
      <c r="E63" s="71"/>
      <c r="F63" s="70">
        <f>F62/E62</f>
        <v>172.36757333333333</v>
      </c>
      <c r="G63" s="71"/>
      <c r="H63" s="70" t="e">
        <f>H62/G62</f>
        <v>#DIV/0!</v>
      </c>
      <c r="I63" s="71"/>
      <c r="J63" s="70" t="e">
        <f>J62/I62</f>
        <v>#DIV/0!</v>
      </c>
      <c r="K63" s="71"/>
      <c r="L63" s="70" t="e">
        <f>L62/K62</f>
        <v>#DIV/0!</v>
      </c>
      <c r="M63" s="71"/>
      <c r="N63" s="70" t="e">
        <f>N62/M62</f>
        <v>#DIV/0!</v>
      </c>
      <c r="O63" s="71"/>
      <c r="P63" s="70" t="e">
        <f>P62/O62</f>
        <v>#DIV/0!</v>
      </c>
      <c r="Q63" s="71"/>
      <c r="R63" s="70" t="e">
        <f>R62/Q62</f>
        <v>#DIV/0!</v>
      </c>
      <c r="S63" s="71"/>
      <c r="T63" s="70" t="e">
        <f>T62/S62</f>
        <v>#DIV/0!</v>
      </c>
      <c r="U63" s="71"/>
      <c r="V63" s="70" t="e">
        <f>V62/U62</f>
        <v>#DIV/0!</v>
      </c>
      <c r="W63" s="71"/>
      <c r="X63" s="70" t="e">
        <f>X62/W62</f>
        <v>#DIV/0!</v>
      </c>
      <c r="Y63" s="71"/>
      <c r="Z63" s="70" t="e">
        <f>Z62/Y62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ENTIRE ARCHITECTURE</vt:lpstr>
      <vt:lpstr>AMBASSADOR ARCHITECTURE</vt:lpstr>
      <vt:lpstr>AMBASSADOR</vt:lpstr>
      <vt:lpstr>AMBASSADOR BACKEND</vt:lpstr>
      <vt:lpstr>ADIM RIGHTS</vt:lpstr>
      <vt:lpstr>CALL CENTRE</vt:lpstr>
      <vt:lpstr>SALES AGENTS</vt:lpstr>
      <vt:lpstr>QA</vt:lpstr>
      <vt:lpstr>EXPORT STATUS PAGE</vt:lpstr>
      <vt:lpstr>PREMIUM INCREASE </vt:lpstr>
      <vt:lpstr>SALES DATA DASH BOARD</vt:lpstr>
      <vt:lpstr>MONTHLY PREMIUM</vt:lpstr>
      <vt:lpstr>GLOBAL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Friederang</dc:creator>
  <cp:lastModifiedBy>Ian Friederang</cp:lastModifiedBy>
  <dcterms:created xsi:type="dcterms:W3CDTF">2026-04-15T14:29:40Z</dcterms:created>
  <dcterms:modified xsi:type="dcterms:W3CDTF">2026-04-17T09:36:42Z</dcterms:modified>
</cp:coreProperties>
</file>